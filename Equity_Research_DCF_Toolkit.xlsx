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scar\OneDrive\Desktop\Private prosjekter\Equity Research Toolkit\model_builder\"/>
    </mc:Choice>
  </mc:AlternateContent>
  <xr:revisionPtr revIDLastSave="0" documentId="8_{25F9204B-0C2C-4D44-8A36-2AB86EC17589}" xr6:coauthVersionLast="47" xr6:coauthVersionMax="47" xr10:uidLastSave="{00000000-0000-0000-0000-000000000000}"/>
  <bookViews>
    <workbookView xWindow="-110" yWindow="-110" windowWidth="19420" windowHeight="11500" xr2:uid="{00000000-000D-0000-FFFF-FFFF00000000}"/>
  </bookViews>
  <sheets>
    <sheet name="Cover" sheetId="1" r:id="rId1"/>
    <sheet name="Guide" sheetId="2" r:id="rId2"/>
    <sheet name="Inputs &gt;&gt;&gt;" sheetId="3" r:id="rId3"/>
    <sheet name="Inputs" sheetId="4" r:id="rId4"/>
    <sheet name="Hist" sheetId="5" r:id="rId5"/>
    <sheet name="Drivers" sheetId="6" r:id="rId6"/>
    <sheet name="Calculations &gt;&gt;&gt;" sheetId="7" r:id="rId7"/>
    <sheet name="Model" sheetId="8" r:id="rId8"/>
    <sheet name="Output &gt;&gt;&gt;" sheetId="9" r:id="rId9"/>
    <sheet name="Output" sheetId="10" r:id="rId10"/>
    <sheet name="Analysis" sheetId="11" r:id="rId11"/>
    <sheet name="Valuation &gt;&gt;&gt;" sheetId="12" r:id="rId12"/>
    <sheet name="WACC" sheetId="13" r:id="rId13"/>
    <sheet name="DCF" sheetId="14" r:id="rId14"/>
    <sheet name="Sensitivity" sheetId="15" r:id="rId15"/>
    <sheet name="Comps" sheetId="16" r:id="rId16"/>
    <sheet name="Football" sheetId="17" r:id="rId17"/>
    <sheet name="Market view &gt;&gt;&gt;" sheetId="18" r:id="rId18"/>
    <sheet name="Reverse_DCF" sheetId="19" r:id="rId19"/>
    <sheet name="Consensus" sheetId="20" r:id="rId20"/>
    <sheet name="Thesis" sheetId="21" r:id="rId21"/>
    <sheet name="Summary &gt;&gt;&gt;" sheetId="22" r:id="rId22"/>
    <sheet name="Dashboard" sheetId="23" r:id="rId23"/>
    <sheet name="Deck_Feed" sheetId="24" r:id="rId24"/>
    <sheet name="Checks" sheetId="25" r:id="rId25"/>
  </sheets>
  <definedNames>
    <definedName name="CostOfEquity">WACC!$C$16</definedName>
    <definedName name="DCF_ValuePerShare">DCF!$E$83</definedName>
    <definedName name="EV_DCF">DCF!$E$73</definedName>
    <definedName name="ImpliedMargin">Reverse_DCF!$C$6</definedName>
    <definedName name="ModelStatus">Checks!$D$3</definedName>
    <definedName name="PeerValuePerShare">Comps!$H$33</definedName>
    <definedName name="Recommendation">DCF!$E$114</definedName>
    <definedName name="RevenueMode">Inputs!$C$72</definedName>
    <definedName name="Scenario">Inputs!$C$53</definedName>
    <definedName name="SharePrice">Inputs!$C$27</definedName>
    <definedName name="TargetPrice">DCF!$E$109</definedName>
    <definedName name="TerminalGrowth">Drivers!$H$91</definedName>
    <definedName name="WACC_used">WACC!$C$34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25" l="1"/>
  <c r="E36" i="25" s="1"/>
  <c r="D24" i="25"/>
  <c r="E24" i="25" s="1"/>
  <c r="D21" i="25"/>
  <c r="E21" i="25" s="1"/>
  <c r="D19" i="25"/>
  <c r="E19" i="25" s="1"/>
  <c r="C16" i="24"/>
  <c r="C10" i="24"/>
  <c r="C9" i="24"/>
  <c r="D7" i="23"/>
  <c r="F5" i="23"/>
  <c r="B2" i="23"/>
  <c r="B1" i="23"/>
  <c r="D8" i="22"/>
  <c r="G16" i="21"/>
  <c r="F16" i="21"/>
  <c r="D16" i="21"/>
  <c r="E16" i="21" s="1"/>
  <c r="C16" i="21"/>
  <c r="G11" i="21"/>
  <c r="F11" i="21"/>
  <c r="D11" i="21"/>
  <c r="E11" i="21" s="1"/>
  <c r="C11" i="21"/>
  <c r="G6" i="21"/>
  <c r="F6" i="21"/>
  <c r="D6" i="21"/>
  <c r="E6" i="21" s="1"/>
  <c r="C6" i="21"/>
  <c r="K1" i="21"/>
  <c r="J19" i="20"/>
  <c r="G19" i="20"/>
  <c r="D19" i="20"/>
  <c r="B12" i="20"/>
  <c r="C9" i="20"/>
  <c r="E9" i="20" s="1"/>
  <c r="K1" i="20"/>
  <c r="C91" i="19"/>
  <c r="D44" i="19"/>
  <c r="K39" i="19"/>
  <c r="K38" i="19"/>
  <c r="K37" i="19"/>
  <c r="K36" i="19"/>
  <c r="K35" i="19"/>
  <c r="K34" i="19"/>
  <c r="K33" i="19"/>
  <c r="K32" i="19"/>
  <c r="K31" i="19"/>
  <c r="C31" i="19"/>
  <c r="C32" i="19" s="1"/>
  <c r="K30" i="19"/>
  <c r="K29" i="19"/>
  <c r="K28" i="19"/>
  <c r="K27" i="19"/>
  <c r="K26" i="19"/>
  <c r="K25" i="19"/>
  <c r="K24" i="19"/>
  <c r="K23" i="19"/>
  <c r="C13" i="19"/>
  <c r="K1" i="19"/>
  <c r="D8" i="18"/>
  <c r="C17" i="17"/>
  <c r="C13" i="17"/>
  <c r="I12" i="17"/>
  <c r="D7" i="17"/>
  <c r="C7" i="17"/>
  <c r="E7" i="17" s="1"/>
  <c r="K7" i="17" s="1"/>
  <c r="D5" i="17"/>
  <c r="C5" i="17"/>
  <c r="F5" i="17" s="1"/>
  <c r="H1" i="17"/>
  <c r="F38" i="16"/>
  <c r="E38" i="16"/>
  <c r="B37" i="16"/>
  <c r="E31" i="16"/>
  <c r="C26" i="16"/>
  <c r="F30" i="16" s="1"/>
  <c r="B22" i="16"/>
  <c r="S20" i="16"/>
  <c r="R20" i="16"/>
  <c r="Q20" i="16"/>
  <c r="P20" i="16"/>
  <c r="O20" i="16"/>
  <c r="N20" i="16"/>
  <c r="M20" i="16"/>
  <c r="L20" i="16"/>
  <c r="K20" i="16"/>
  <c r="J20" i="16"/>
  <c r="I20" i="16"/>
  <c r="H20" i="16"/>
  <c r="G20" i="16"/>
  <c r="F20" i="16"/>
  <c r="E20" i="16"/>
  <c r="D20" i="16"/>
  <c r="S19" i="16"/>
  <c r="R19" i="16"/>
  <c r="Q19" i="16"/>
  <c r="P19" i="16"/>
  <c r="O19" i="16"/>
  <c r="N19" i="16"/>
  <c r="M19" i="16"/>
  <c r="L19" i="16"/>
  <c r="K19" i="16"/>
  <c r="J19" i="16"/>
  <c r="I19" i="16"/>
  <c r="H19" i="16"/>
  <c r="G19" i="16"/>
  <c r="F19" i="16"/>
  <c r="E19" i="16"/>
  <c r="D19" i="16"/>
  <c r="S18" i="16"/>
  <c r="R18" i="16"/>
  <c r="Q18" i="16"/>
  <c r="P18" i="16"/>
  <c r="O18" i="16"/>
  <c r="N18" i="16"/>
  <c r="M18" i="16"/>
  <c r="F31" i="16" s="1"/>
  <c r="L18" i="16"/>
  <c r="K18" i="16"/>
  <c r="J18" i="16"/>
  <c r="I18" i="16"/>
  <c r="H18" i="16"/>
  <c r="G18" i="16"/>
  <c r="F18" i="16"/>
  <c r="E18" i="16"/>
  <c r="D18" i="16"/>
  <c r="S17" i="16"/>
  <c r="R17" i="16"/>
  <c r="Q17" i="16"/>
  <c r="P17" i="16"/>
  <c r="O17" i="16"/>
  <c r="N17" i="16"/>
  <c r="M17" i="16"/>
  <c r="L17" i="16"/>
  <c r="K17" i="16"/>
  <c r="J17" i="16"/>
  <c r="I17" i="16"/>
  <c r="H17" i="16"/>
  <c r="G17" i="16"/>
  <c r="F17" i="16"/>
  <c r="E17" i="16"/>
  <c r="D17" i="16"/>
  <c r="S16" i="16"/>
  <c r="D38" i="16" s="1"/>
  <c r="R16" i="16"/>
  <c r="C38" i="16" s="1"/>
  <c r="Q16" i="16"/>
  <c r="P16" i="16"/>
  <c r="O16" i="16"/>
  <c r="N16" i="16"/>
  <c r="M16" i="16"/>
  <c r="L16" i="16"/>
  <c r="K16" i="16"/>
  <c r="J16" i="16"/>
  <c r="I16" i="16"/>
  <c r="H16" i="16"/>
  <c r="G16" i="16"/>
  <c r="F16" i="16"/>
  <c r="E16" i="16"/>
  <c r="D16" i="16"/>
  <c r="S15" i="16"/>
  <c r="R15" i="16"/>
  <c r="Q15" i="16"/>
  <c r="P15" i="16"/>
  <c r="O15" i="16"/>
  <c r="N15" i="16"/>
  <c r="M15" i="16"/>
  <c r="L15" i="16"/>
  <c r="K15" i="16"/>
  <c r="J15" i="16"/>
  <c r="I15" i="16"/>
  <c r="H15" i="16"/>
  <c r="G15" i="16"/>
  <c r="F15" i="16"/>
  <c r="E15" i="16"/>
  <c r="D15" i="16"/>
  <c r="S1" i="16"/>
  <c r="L47" i="15"/>
  <c r="I46" i="15"/>
  <c r="N1" i="15"/>
  <c r="F102" i="14"/>
  <c r="E84" i="14"/>
  <c r="E81" i="14"/>
  <c r="E79" i="14"/>
  <c r="E78" i="14"/>
  <c r="E77" i="14"/>
  <c r="E76" i="14"/>
  <c r="S43" i="14"/>
  <c r="S44" i="14" s="1"/>
  <c r="R43" i="14"/>
  <c r="R44" i="14" s="1"/>
  <c r="Q43" i="14"/>
  <c r="Q44" i="14" s="1"/>
  <c r="P43" i="14"/>
  <c r="P44" i="14" s="1"/>
  <c r="O43" i="14"/>
  <c r="N43" i="14"/>
  <c r="M43" i="14"/>
  <c r="L43" i="14"/>
  <c r="H33" i="14"/>
  <c r="E17" i="14"/>
  <c r="E16" i="14"/>
  <c r="E15" i="14"/>
  <c r="E13" i="14"/>
  <c r="F5" i="14"/>
  <c r="B5" i="14"/>
  <c r="K3" i="14"/>
  <c r="K5" i="14" s="1"/>
  <c r="J3" i="14"/>
  <c r="J5" i="14" s="1"/>
  <c r="I3" i="14"/>
  <c r="I5" i="14" s="1"/>
  <c r="H3" i="14"/>
  <c r="H5" i="14" s="1"/>
  <c r="G3" i="14"/>
  <c r="G5" i="14" s="1"/>
  <c r="F3" i="14"/>
  <c r="E3" i="14"/>
  <c r="E5" i="14" s="1"/>
  <c r="T1" i="14"/>
  <c r="C29" i="13"/>
  <c r="E19" i="14" s="1"/>
  <c r="C21" i="13"/>
  <c r="L15" i="13"/>
  <c r="K15" i="13"/>
  <c r="I15" i="13"/>
  <c r="L14" i="13"/>
  <c r="K14" i="13"/>
  <c r="I14" i="13"/>
  <c r="J13" i="13"/>
  <c r="M13" i="13" s="1"/>
  <c r="H13" i="13"/>
  <c r="G13" i="13"/>
  <c r="J12" i="13"/>
  <c r="M12" i="13" s="1"/>
  <c r="H12" i="13"/>
  <c r="G12" i="13"/>
  <c r="J11" i="13"/>
  <c r="M11" i="13" s="1"/>
  <c r="H11" i="13"/>
  <c r="G11" i="13"/>
  <c r="J10" i="13"/>
  <c r="M10" i="13" s="1"/>
  <c r="H10" i="13"/>
  <c r="G10" i="13"/>
  <c r="J9" i="13"/>
  <c r="M9" i="13" s="1"/>
  <c r="H9" i="13"/>
  <c r="G9" i="13"/>
  <c r="J8" i="13"/>
  <c r="M8" i="13" s="1"/>
  <c r="H8" i="13"/>
  <c r="G8" i="13"/>
  <c r="J7" i="13"/>
  <c r="M7" i="13" s="1"/>
  <c r="H7" i="13"/>
  <c r="G7" i="13"/>
  <c r="J6" i="13"/>
  <c r="H6" i="13"/>
  <c r="G6" i="13"/>
  <c r="M1" i="13"/>
  <c r="D8" i="12"/>
  <c r="I75" i="11"/>
  <c r="G22" i="24" s="1"/>
  <c r="K58" i="11"/>
  <c r="I58" i="11"/>
  <c r="I17" i="11"/>
  <c r="H17" i="11"/>
  <c r="F17" i="11"/>
  <c r="J5" i="11"/>
  <c r="I5" i="11"/>
  <c r="G5" i="11"/>
  <c r="B5" i="11"/>
  <c r="K3" i="11"/>
  <c r="K5" i="11" s="1"/>
  <c r="J3" i="11"/>
  <c r="I3" i="11"/>
  <c r="H3" i="11"/>
  <c r="H5" i="11" s="1"/>
  <c r="G3" i="11"/>
  <c r="F3" i="11"/>
  <c r="F5" i="11" s="1"/>
  <c r="E3" i="11"/>
  <c r="E5" i="11" s="1"/>
  <c r="T1" i="11"/>
  <c r="S84" i="10"/>
  <c r="R84" i="10"/>
  <c r="Q84" i="10"/>
  <c r="P84" i="10"/>
  <c r="O84" i="10"/>
  <c r="N84" i="10"/>
  <c r="M84" i="10"/>
  <c r="L84" i="10"/>
  <c r="K83" i="10"/>
  <c r="J83" i="10"/>
  <c r="I83" i="10"/>
  <c r="H83" i="10"/>
  <c r="G83" i="10"/>
  <c r="F83" i="10"/>
  <c r="S81" i="10"/>
  <c r="R81" i="10"/>
  <c r="Q81" i="10"/>
  <c r="P81" i="10"/>
  <c r="O81" i="10"/>
  <c r="N81" i="10"/>
  <c r="M81" i="10"/>
  <c r="L81" i="10"/>
  <c r="K81" i="10"/>
  <c r="J81" i="10"/>
  <c r="I81" i="10"/>
  <c r="H81" i="10"/>
  <c r="G81" i="10"/>
  <c r="F81" i="10"/>
  <c r="S75" i="10"/>
  <c r="R75" i="10"/>
  <c r="Q75" i="10"/>
  <c r="P75" i="10"/>
  <c r="O75" i="10"/>
  <c r="N75" i="10"/>
  <c r="M75" i="10"/>
  <c r="L75" i="10"/>
  <c r="K71" i="10"/>
  <c r="K61" i="10"/>
  <c r="J61" i="10"/>
  <c r="H61" i="10"/>
  <c r="G61" i="10"/>
  <c r="E61" i="10"/>
  <c r="H59" i="10"/>
  <c r="G59" i="10"/>
  <c r="E59" i="10"/>
  <c r="G56" i="10"/>
  <c r="H52" i="10"/>
  <c r="K51" i="10"/>
  <c r="J51" i="10"/>
  <c r="I51" i="10"/>
  <c r="F48" i="10"/>
  <c r="E48" i="10"/>
  <c r="K47" i="10"/>
  <c r="K42" i="10"/>
  <c r="E28" i="10"/>
  <c r="S23" i="10"/>
  <c r="S73" i="10" s="1"/>
  <c r="R23" i="10"/>
  <c r="R73" i="10" s="1"/>
  <c r="Q23" i="10"/>
  <c r="Q73" i="10" s="1"/>
  <c r="P23" i="10"/>
  <c r="P73" i="10" s="1"/>
  <c r="O23" i="10"/>
  <c r="O73" i="10" s="1"/>
  <c r="N23" i="10"/>
  <c r="N73" i="10" s="1"/>
  <c r="M23" i="10"/>
  <c r="M73" i="10" s="1"/>
  <c r="L23" i="10"/>
  <c r="L73" i="10" s="1"/>
  <c r="K17" i="10"/>
  <c r="J17" i="10"/>
  <c r="G17" i="10"/>
  <c r="F17" i="10"/>
  <c r="G16" i="10"/>
  <c r="E16" i="10"/>
  <c r="H12" i="10"/>
  <c r="F12" i="10"/>
  <c r="K5" i="10"/>
  <c r="B5" i="10"/>
  <c r="K3" i="10"/>
  <c r="J3" i="10"/>
  <c r="J5" i="10" s="1"/>
  <c r="I3" i="10"/>
  <c r="I5" i="10" s="1"/>
  <c r="H3" i="10"/>
  <c r="H5" i="10" s="1"/>
  <c r="G3" i="10"/>
  <c r="G5" i="10" s="1"/>
  <c r="F3" i="10"/>
  <c r="F5" i="10" s="1"/>
  <c r="E3" i="10"/>
  <c r="E5" i="10" s="1"/>
  <c r="T1" i="10"/>
  <c r="D8" i="9"/>
  <c r="K144" i="8"/>
  <c r="K62" i="10" s="1"/>
  <c r="J144" i="8"/>
  <c r="J62" i="10" s="1"/>
  <c r="I144" i="8"/>
  <c r="I62" i="10" s="1"/>
  <c r="I63" i="10" s="1"/>
  <c r="H144" i="8"/>
  <c r="H62" i="10" s="1"/>
  <c r="G144" i="8"/>
  <c r="G62" i="10" s="1"/>
  <c r="F144" i="8"/>
  <c r="F62" i="10" s="1"/>
  <c r="E144" i="8"/>
  <c r="E62" i="10" s="1"/>
  <c r="K143" i="8"/>
  <c r="J143" i="8"/>
  <c r="I143" i="8"/>
  <c r="I61" i="10" s="1"/>
  <c r="H143" i="8"/>
  <c r="G143" i="8"/>
  <c r="F143" i="8"/>
  <c r="E143" i="8"/>
  <c r="K142" i="8"/>
  <c r="J142" i="8"/>
  <c r="J59" i="10" s="1"/>
  <c r="I142" i="8"/>
  <c r="I59" i="10" s="1"/>
  <c r="H142" i="8"/>
  <c r="G142" i="8"/>
  <c r="F142" i="8"/>
  <c r="F59" i="10" s="1"/>
  <c r="E142" i="8"/>
  <c r="L141" i="8"/>
  <c r="L52" i="10" s="1"/>
  <c r="K141" i="8"/>
  <c r="K52" i="10" s="1"/>
  <c r="J141" i="8"/>
  <c r="J52" i="10" s="1"/>
  <c r="I141" i="8"/>
  <c r="I52" i="10" s="1"/>
  <c r="H141" i="8"/>
  <c r="G141" i="8"/>
  <c r="G52" i="10" s="1"/>
  <c r="F141" i="8"/>
  <c r="F52" i="10" s="1"/>
  <c r="E141" i="8"/>
  <c r="E52" i="10" s="1"/>
  <c r="K140" i="8"/>
  <c r="J140" i="8"/>
  <c r="I140" i="8"/>
  <c r="H140" i="8"/>
  <c r="H51" i="10" s="1"/>
  <c r="G140" i="8"/>
  <c r="G51" i="10" s="1"/>
  <c r="F140" i="8"/>
  <c r="F51" i="10" s="1"/>
  <c r="E140" i="8"/>
  <c r="E51" i="10" s="1"/>
  <c r="F137" i="8"/>
  <c r="K136" i="8"/>
  <c r="K56" i="10" s="1"/>
  <c r="J136" i="8"/>
  <c r="J56" i="10" s="1"/>
  <c r="I136" i="8"/>
  <c r="I56" i="10" s="1"/>
  <c r="H136" i="8"/>
  <c r="H56" i="10" s="1"/>
  <c r="G136" i="8"/>
  <c r="F136" i="8"/>
  <c r="F56" i="10" s="1"/>
  <c r="E136" i="8"/>
  <c r="E56" i="10" s="1"/>
  <c r="H135" i="8"/>
  <c r="G135" i="8"/>
  <c r="K131" i="8"/>
  <c r="K82" i="10" s="1"/>
  <c r="J131" i="8"/>
  <c r="J82" i="10" s="1"/>
  <c r="I131" i="8"/>
  <c r="I82" i="10" s="1"/>
  <c r="H131" i="8"/>
  <c r="H82" i="10" s="1"/>
  <c r="G131" i="8"/>
  <c r="G82" i="10" s="1"/>
  <c r="F131" i="8"/>
  <c r="F82" i="10" s="1"/>
  <c r="E131" i="8"/>
  <c r="K118" i="8"/>
  <c r="J118" i="8"/>
  <c r="J48" i="10" s="1"/>
  <c r="I118" i="8"/>
  <c r="I48" i="10" s="1"/>
  <c r="H118" i="8"/>
  <c r="H48" i="10" s="1"/>
  <c r="G118" i="8"/>
  <c r="G48" i="10" s="1"/>
  <c r="F118" i="8"/>
  <c r="E118" i="8"/>
  <c r="K117" i="8"/>
  <c r="J117" i="8"/>
  <c r="J47" i="10" s="1"/>
  <c r="I117" i="8"/>
  <c r="I47" i="10" s="1"/>
  <c r="H117" i="8"/>
  <c r="H47" i="10" s="1"/>
  <c r="G117" i="8"/>
  <c r="G47" i="10" s="1"/>
  <c r="F117" i="8"/>
  <c r="F47" i="10" s="1"/>
  <c r="E117" i="8"/>
  <c r="E47" i="10" s="1"/>
  <c r="K116" i="8"/>
  <c r="J116" i="8"/>
  <c r="J33" i="14" s="1"/>
  <c r="I116" i="8"/>
  <c r="I33" i="14" s="1"/>
  <c r="H116" i="8"/>
  <c r="H78" i="10" s="1"/>
  <c r="G116" i="8"/>
  <c r="G78" i="10" s="1"/>
  <c r="F116" i="8"/>
  <c r="F78" i="10" s="1"/>
  <c r="E116" i="8"/>
  <c r="E33" i="14" s="1"/>
  <c r="K107" i="8"/>
  <c r="J107" i="8"/>
  <c r="I107" i="8"/>
  <c r="H107" i="8"/>
  <c r="G107" i="8"/>
  <c r="F107" i="8"/>
  <c r="E107" i="8"/>
  <c r="E75" i="11" s="1"/>
  <c r="K104" i="8"/>
  <c r="K60" i="11" s="1"/>
  <c r="J104" i="8"/>
  <c r="J60" i="11" s="1"/>
  <c r="I104" i="8"/>
  <c r="I61" i="11" s="1"/>
  <c r="I73" i="11" s="1"/>
  <c r="H104" i="8"/>
  <c r="G104" i="8"/>
  <c r="G61" i="11" s="1"/>
  <c r="G73" i="11" s="1"/>
  <c r="F104" i="8"/>
  <c r="F60" i="11" s="1"/>
  <c r="E104" i="8"/>
  <c r="E60" i="11" s="1"/>
  <c r="K99" i="8"/>
  <c r="K33" i="10" s="1"/>
  <c r="J99" i="8"/>
  <c r="J33" i="10" s="1"/>
  <c r="I99" i="8"/>
  <c r="I33" i="10" s="1"/>
  <c r="H99" i="8"/>
  <c r="H33" i="10" s="1"/>
  <c r="G99" i="8"/>
  <c r="G33" i="10" s="1"/>
  <c r="F99" i="8"/>
  <c r="F33" i="10" s="1"/>
  <c r="E99" i="8"/>
  <c r="E33" i="10" s="1"/>
  <c r="K97" i="8"/>
  <c r="K31" i="10" s="1"/>
  <c r="J97" i="8"/>
  <c r="J31" i="10" s="1"/>
  <c r="J71" i="10" s="1"/>
  <c r="I97" i="8"/>
  <c r="I31" i="10" s="1"/>
  <c r="I71" i="10" s="1"/>
  <c r="H97" i="8"/>
  <c r="H31" i="10" s="1"/>
  <c r="H71" i="10" s="1"/>
  <c r="G97" i="8"/>
  <c r="G31" i="10" s="1"/>
  <c r="G71" i="10" s="1"/>
  <c r="F97" i="8"/>
  <c r="F31" i="10" s="1"/>
  <c r="F71" i="10" s="1"/>
  <c r="E97" i="8"/>
  <c r="E31" i="10" s="1"/>
  <c r="K95" i="8"/>
  <c r="K28" i="10" s="1"/>
  <c r="J95" i="8"/>
  <c r="J28" i="10" s="1"/>
  <c r="I95" i="8"/>
  <c r="I28" i="10" s="1"/>
  <c r="H95" i="8"/>
  <c r="H28" i="10" s="1"/>
  <c r="G95" i="8"/>
  <c r="G28" i="10" s="1"/>
  <c r="F95" i="8"/>
  <c r="F28" i="10" s="1"/>
  <c r="E95" i="8"/>
  <c r="K94" i="8"/>
  <c r="J94" i="8"/>
  <c r="I94" i="8"/>
  <c r="H94" i="8"/>
  <c r="G94" i="8"/>
  <c r="F94" i="8"/>
  <c r="F27" i="10" s="1"/>
  <c r="F72" i="10" s="1"/>
  <c r="E94" i="8"/>
  <c r="K90" i="8"/>
  <c r="K22" i="10" s="1"/>
  <c r="J90" i="8"/>
  <c r="J22" i="10" s="1"/>
  <c r="I90" i="8"/>
  <c r="I22" i="10" s="1"/>
  <c r="H90" i="8"/>
  <c r="H22" i="10" s="1"/>
  <c r="G90" i="8"/>
  <c r="G22" i="10" s="1"/>
  <c r="F90" i="8"/>
  <c r="F22" i="10" s="1"/>
  <c r="E90" i="8"/>
  <c r="E22" i="10" s="1"/>
  <c r="K89" i="8"/>
  <c r="K23" i="10" s="1"/>
  <c r="K73" i="10" s="1"/>
  <c r="J89" i="8"/>
  <c r="J23" i="10" s="1"/>
  <c r="J73" i="10" s="1"/>
  <c r="I89" i="8"/>
  <c r="I23" i="10" s="1"/>
  <c r="I73" i="10" s="1"/>
  <c r="H89" i="8"/>
  <c r="H23" i="10" s="1"/>
  <c r="H73" i="10" s="1"/>
  <c r="G89" i="8"/>
  <c r="G23" i="10" s="1"/>
  <c r="G73" i="10" s="1"/>
  <c r="F89" i="8"/>
  <c r="F23" i="10" s="1"/>
  <c r="F73" i="10" s="1"/>
  <c r="E89" i="8"/>
  <c r="E23" i="10" s="1"/>
  <c r="K84" i="8"/>
  <c r="K27" i="14" s="1"/>
  <c r="K32" i="14" s="1"/>
  <c r="J84" i="8"/>
  <c r="J27" i="14" s="1"/>
  <c r="J32" i="14" s="1"/>
  <c r="I84" i="8"/>
  <c r="I21" i="10" s="1"/>
  <c r="H84" i="8"/>
  <c r="H27" i="14" s="1"/>
  <c r="H32" i="14" s="1"/>
  <c r="G84" i="8"/>
  <c r="F84" i="8"/>
  <c r="E84" i="8"/>
  <c r="K81" i="8"/>
  <c r="J81" i="8"/>
  <c r="I81" i="8"/>
  <c r="H81" i="8"/>
  <c r="G81" i="8"/>
  <c r="F81" i="8"/>
  <c r="E81" i="8"/>
  <c r="K77" i="8"/>
  <c r="J77" i="8"/>
  <c r="I77" i="8"/>
  <c r="I17" i="10" s="1"/>
  <c r="H77" i="8"/>
  <c r="H17" i="10" s="1"/>
  <c r="G77" i="8"/>
  <c r="F77" i="8"/>
  <c r="E77" i="8"/>
  <c r="K75" i="8"/>
  <c r="K76" i="8" s="1"/>
  <c r="J75" i="8"/>
  <c r="J76" i="8" s="1"/>
  <c r="I75" i="8"/>
  <c r="I76" i="8" s="1"/>
  <c r="K74" i="8"/>
  <c r="K16" i="10" s="1"/>
  <c r="J74" i="8"/>
  <c r="J16" i="10" s="1"/>
  <c r="I74" i="8"/>
  <c r="I72" i="8" s="1"/>
  <c r="H74" i="8"/>
  <c r="G74" i="8"/>
  <c r="F74" i="8"/>
  <c r="F16" i="10" s="1"/>
  <c r="E74" i="8"/>
  <c r="K68" i="8"/>
  <c r="K12" i="10" s="1"/>
  <c r="J68" i="8"/>
  <c r="J12" i="10" s="1"/>
  <c r="I68" i="8"/>
  <c r="I12" i="10" s="1"/>
  <c r="H68" i="8"/>
  <c r="G68" i="8"/>
  <c r="G12" i="10" s="1"/>
  <c r="F68" i="8"/>
  <c r="E68" i="8"/>
  <c r="E12" i="10" s="1"/>
  <c r="K53" i="8"/>
  <c r="J53" i="8"/>
  <c r="I53" i="8"/>
  <c r="H53" i="8"/>
  <c r="G53" i="8"/>
  <c r="F53" i="8"/>
  <c r="E53" i="8"/>
  <c r="K48" i="8"/>
  <c r="K49" i="8" s="1"/>
  <c r="J48" i="8"/>
  <c r="I48" i="8"/>
  <c r="J49" i="8" s="1"/>
  <c r="H48" i="8"/>
  <c r="H49" i="8" s="1"/>
  <c r="G48" i="8"/>
  <c r="G49" i="8" s="1"/>
  <c r="F48" i="8"/>
  <c r="E48" i="8"/>
  <c r="F49" i="8" s="1"/>
  <c r="F46" i="8"/>
  <c r="E46" i="8"/>
  <c r="K45" i="8"/>
  <c r="J45" i="8"/>
  <c r="K44" i="8"/>
  <c r="J44" i="8"/>
  <c r="I44" i="8"/>
  <c r="I45" i="8" s="1"/>
  <c r="H44" i="8"/>
  <c r="G44" i="8"/>
  <c r="F44" i="8"/>
  <c r="E44" i="8"/>
  <c r="B44" i="8"/>
  <c r="B42" i="8"/>
  <c r="K41" i="8"/>
  <c r="H41" i="8"/>
  <c r="G41" i="8"/>
  <c r="K40" i="8"/>
  <c r="J40" i="8"/>
  <c r="I40" i="8"/>
  <c r="H40" i="8"/>
  <c r="G40" i="8"/>
  <c r="F40" i="8"/>
  <c r="E40" i="8"/>
  <c r="K38" i="8"/>
  <c r="K42" i="8" s="1"/>
  <c r="J38" i="8"/>
  <c r="J39" i="8" s="1"/>
  <c r="I38" i="8"/>
  <c r="I39" i="8" s="1"/>
  <c r="H38" i="8"/>
  <c r="H42" i="8" s="1"/>
  <c r="G38" i="8"/>
  <c r="G42" i="8" s="1"/>
  <c r="H43" i="8" s="1"/>
  <c r="F38" i="8"/>
  <c r="F42" i="8" s="1"/>
  <c r="G43" i="8" s="1"/>
  <c r="E38" i="8"/>
  <c r="E41" i="8" s="1"/>
  <c r="B37" i="8"/>
  <c r="K34" i="8"/>
  <c r="J34" i="8"/>
  <c r="I34" i="8"/>
  <c r="H34" i="8"/>
  <c r="G34" i="8"/>
  <c r="G35" i="8" s="1"/>
  <c r="F34" i="8"/>
  <c r="E34" i="8"/>
  <c r="G31" i="8"/>
  <c r="F31" i="8"/>
  <c r="K30" i="8"/>
  <c r="J30" i="8"/>
  <c r="J31" i="8" s="1"/>
  <c r="I30" i="8"/>
  <c r="I31" i="8" s="1"/>
  <c r="H30" i="8"/>
  <c r="H31" i="8" s="1"/>
  <c r="G30" i="8"/>
  <c r="F30" i="8"/>
  <c r="E30" i="8"/>
  <c r="B30" i="8"/>
  <c r="B28" i="8"/>
  <c r="I27" i="8"/>
  <c r="G27" i="8"/>
  <c r="F27" i="8"/>
  <c r="E27" i="8"/>
  <c r="K26" i="8"/>
  <c r="J26" i="8"/>
  <c r="I26" i="8"/>
  <c r="H26" i="8"/>
  <c r="G26" i="8"/>
  <c r="F26" i="8"/>
  <c r="E26" i="8"/>
  <c r="K24" i="8"/>
  <c r="J24" i="8"/>
  <c r="I24" i="8"/>
  <c r="H24" i="8"/>
  <c r="G24" i="8"/>
  <c r="F24" i="8"/>
  <c r="F25" i="8" s="1"/>
  <c r="E24" i="8"/>
  <c r="E28" i="8" s="1"/>
  <c r="B23" i="8"/>
  <c r="K20" i="8"/>
  <c r="K21" i="8" s="1"/>
  <c r="J20" i="8"/>
  <c r="I20" i="8"/>
  <c r="H20" i="8"/>
  <c r="H18" i="8" s="1"/>
  <c r="G20" i="8"/>
  <c r="F20" i="8"/>
  <c r="E20" i="8"/>
  <c r="K16" i="8"/>
  <c r="K17" i="8" s="1"/>
  <c r="K19" i="8" s="1"/>
  <c r="J16" i="8"/>
  <c r="J17" i="8" s="1"/>
  <c r="I16" i="8"/>
  <c r="H16" i="8"/>
  <c r="G16" i="8"/>
  <c r="F16" i="8"/>
  <c r="E16" i="8"/>
  <c r="B16" i="8"/>
  <c r="B14" i="8"/>
  <c r="K13" i="8"/>
  <c r="J13" i="8"/>
  <c r="G13" i="8"/>
  <c r="K12" i="8"/>
  <c r="J12" i="8"/>
  <c r="I12" i="8"/>
  <c r="H12" i="8"/>
  <c r="G12" i="8"/>
  <c r="F12" i="8"/>
  <c r="E12" i="8"/>
  <c r="K10" i="8"/>
  <c r="J10" i="8"/>
  <c r="I10" i="8"/>
  <c r="I14" i="8" s="1"/>
  <c r="H10" i="8"/>
  <c r="H11" i="8" s="1"/>
  <c r="G10" i="8"/>
  <c r="G11" i="8" s="1"/>
  <c r="F10" i="8"/>
  <c r="F11" i="8" s="1"/>
  <c r="E10" i="8"/>
  <c r="E13" i="8" s="1"/>
  <c r="B9" i="8"/>
  <c r="B5" i="8"/>
  <c r="K3" i="8"/>
  <c r="K5" i="8" s="1"/>
  <c r="J3" i="8"/>
  <c r="J5" i="8" s="1"/>
  <c r="I3" i="8"/>
  <c r="I5" i="8" s="1"/>
  <c r="G4" i="24" s="1"/>
  <c r="H3" i="8"/>
  <c r="H5" i="8" s="1"/>
  <c r="G3" i="8"/>
  <c r="G5" i="8" s="1"/>
  <c r="F3" i="8"/>
  <c r="F5" i="8" s="1"/>
  <c r="E3" i="8"/>
  <c r="E5" i="8" s="1"/>
  <c r="T1" i="8"/>
  <c r="D8" i="7"/>
  <c r="H112" i="6"/>
  <c r="H111" i="6"/>
  <c r="H110" i="6"/>
  <c r="H105" i="6"/>
  <c r="O133" i="8" s="1"/>
  <c r="H104" i="6"/>
  <c r="H103" i="6"/>
  <c r="H102" i="6"/>
  <c r="H101" i="6"/>
  <c r="H100" i="6"/>
  <c r="H94" i="6"/>
  <c r="E12" i="14" s="1"/>
  <c r="H93" i="6"/>
  <c r="E11" i="14" s="1"/>
  <c r="S86" i="6"/>
  <c r="R86" i="6"/>
  <c r="Q86" i="6"/>
  <c r="P86" i="6"/>
  <c r="O86" i="6"/>
  <c r="N86" i="6"/>
  <c r="M86" i="6"/>
  <c r="L86" i="6"/>
  <c r="S85" i="6"/>
  <c r="R85" i="6"/>
  <c r="Q85" i="6"/>
  <c r="P85" i="6"/>
  <c r="O85" i="6"/>
  <c r="N85" i="6"/>
  <c r="M85" i="6"/>
  <c r="L85" i="6"/>
  <c r="S84" i="6"/>
  <c r="R84" i="6"/>
  <c r="Q84" i="6"/>
  <c r="P84" i="6"/>
  <c r="O84" i="6"/>
  <c r="N84" i="6"/>
  <c r="M84" i="6"/>
  <c r="L84" i="6"/>
  <c r="S83" i="6"/>
  <c r="R83" i="6"/>
  <c r="Q83" i="6"/>
  <c r="P83" i="6"/>
  <c r="O83" i="6"/>
  <c r="N83" i="6"/>
  <c r="M83" i="6"/>
  <c r="L83" i="6"/>
  <c r="S82" i="6"/>
  <c r="R82" i="6"/>
  <c r="Q82" i="6"/>
  <c r="P82" i="6"/>
  <c r="O82" i="6"/>
  <c r="N82" i="6"/>
  <c r="M82" i="6"/>
  <c r="L82" i="6"/>
  <c r="S81" i="6"/>
  <c r="R81" i="6"/>
  <c r="Q81" i="6"/>
  <c r="P81" i="6"/>
  <c r="O81" i="6"/>
  <c r="N81" i="6"/>
  <c r="M81" i="6"/>
  <c r="L81" i="6"/>
  <c r="S80" i="6"/>
  <c r="R80" i="6"/>
  <c r="Q80" i="6"/>
  <c r="P80" i="6"/>
  <c r="O80" i="6"/>
  <c r="N80" i="6"/>
  <c r="M80" i="6"/>
  <c r="L80" i="6"/>
  <c r="S79" i="6"/>
  <c r="R79" i="6"/>
  <c r="Q79" i="6"/>
  <c r="P79" i="6"/>
  <c r="O79" i="6"/>
  <c r="N79" i="6"/>
  <c r="M79" i="6"/>
  <c r="L79" i="6"/>
  <c r="E18" i="14" s="1"/>
  <c r="S78" i="6"/>
  <c r="R78" i="6"/>
  <c r="Q78" i="6"/>
  <c r="P78" i="6"/>
  <c r="O78" i="6"/>
  <c r="N78" i="6"/>
  <c r="M78" i="6"/>
  <c r="L78" i="6"/>
  <c r="S76" i="6"/>
  <c r="R76" i="6"/>
  <c r="Q76" i="6"/>
  <c r="P76" i="6"/>
  <c r="O76" i="6"/>
  <c r="N76" i="6"/>
  <c r="M76" i="6"/>
  <c r="L76" i="6"/>
  <c r="S75" i="6"/>
  <c r="R75" i="6"/>
  <c r="Q75" i="6"/>
  <c r="P75" i="6"/>
  <c r="O75" i="6"/>
  <c r="N75" i="6"/>
  <c r="M75" i="6"/>
  <c r="L75" i="6"/>
  <c r="S73" i="6"/>
  <c r="R73" i="6"/>
  <c r="Q73" i="6"/>
  <c r="P73" i="6"/>
  <c r="O73" i="6"/>
  <c r="N73" i="6"/>
  <c r="M73" i="6"/>
  <c r="L73" i="6"/>
  <c r="B69" i="6"/>
  <c r="B68" i="6"/>
  <c r="B67" i="6"/>
  <c r="B66" i="6"/>
  <c r="B65" i="6"/>
  <c r="B64" i="6"/>
  <c r="B63" i="6"/>
  <c r="B62" i="6"/>
  <c r="B61" i="6"/>
  <c r="B60" i="6"/>
  <c r="B59" i="6"/>
  <c r="B58" i="6"/>
  <c r="H53" i="6"/>
  <c r="D22" i="25" s="1"/>
  <c r="E22" i="25" s="1"/>
  <c r="K39" i="6"/>
  <c r="J39" i="6"/>
  <c r="I39" i="6"/>
  <c r="T39" i="6" s="1"/>
  <c r="T38" i="6"/>
  <c r="H37" i="6"/>
  <c r="G37" i="6"/>
  <c r="T33" i="6"/>
  <c r="T28" i="6"/>
  <c r="T27" i="6"/>
  <c r="I23" i="6"/>
  <c r="H23" i="6"/>
  <c r="F23" i="6"/>
  <c r="B23" i="6"/>
  <c r="B22" i="6"/>
  <c r="B21" i="6"/>
  <c r="B20" i="6"/>
  <c r="B19" i="6"/>
  <c r="B18" i="6"/>
  <c r="B17" i="6"/>
  <c r="B16" i="6"/>
  <c r="H15" i="6"/>
  <c r="B15" i="6"/>
  <c r="J14" i="6"/>
  <c r="I14" i="6"/>
  <c r="H14" i="6"/>
  <c r="G14" i="6"/>
  <c r="F14" i="6"/>
  <c r="B14" i="6"/>
  <c r="B13" i="6"/>
  <c r="B12" i="6"/>
  <c r="G7" i="6"/>
  <c r="E7" i="6"/>
  <c r="B5" i="6"/>
  <c r="K3" i="6"/>
  <c r="K5" i="6" s="1"/>
  <c r="J3" i="6"/>
  <c r="J5" i="6" s="1"/>
  <c r="I3" i="6"/>
  <c r="I5" i="6" s="1"/>
  <c r="H3" i="6"/>
  <c r="H5" i="6" s="1"/>
  <c r="G3" i="6"/>
  <c r="G5" i="6" s="1"/>
  <c r="F3" i="6"/>
  <c r="F5" i="6" s="1"/>
  <c r="E3" i="6"/>
  <c r="E5" i="6" s="1"/>
  <c r="T1" i="6"/>
  <c r="H135" i="5"/>
  <c r="G135" i="5"/>
  <c r="K133" i="5"/>
  <c r="J133" i="5"/>
  <c r="I133" i="5"/>
  <c r="H133" i="5"/>
  <c r="H39" i="6" s="1"/>
  <c r="G133" i="5"/>
  <c r="G39" i="6" s="1"/>
  <c r="F133" i="5"/>
  <c r="F39" i="6" s="1"/>
  <c r="E133" i="5"/>
  <c r="E39" i="6" s="1"/>
  <c r="K128" i="5"/>
  <c r="K135" i="8" s="1"/>
  <c r="L94" i="8" s="1"/>
  <c r="J128" i="5"/>
  <c r="K135" i="5" s="1"/>
  <c r="K37" i="6" s="1"/>
  <c r="I128" i="5"/>
  <c r="J135" i="5" s="1"/>
  <c r="J37" i="6" s="1"/>
  <c r="T37" i="6" s="1"/>
  <c r="H128" i="5"/>
  <c r="I135" i="5" s="1"/>
  <c r="I37" i="6" s="1"/>
  <c r="G128" i="5"/>
  <c r="F128" i="5"/>
  <c r="F135" i="8" s="1"/>
  <c r="E128" i="5"/>
  <c r="K123" i="5"/>
  <c r="K125" i="5" s="1"/>
  <c r="J123" i="5"/>
  <c r="J112" i="8" s="1"/>
  <c r="I123" i="5"/>
  <c r="I112" i="8" s="1"/>
  <c r="H123" i="5"/>
  <c r="H112" i="8" s="1"/>
  <c r="G123" i="5"/>
  <c r="G125" i="5" s="1"/>
  <c r="F123" i="5"/>
  <c r="F124" i="5" s="1"/>
  <c r="F34" i="6" s="1"/>
  <c r="E123" i="5"/>
  <c r="E124" i="5" s="1"/>
  <c r="E34" i="6" s="1"/>
  <c r="G121" i="5"/>
  <c r="G32" i="6" s="1"/>
  <c r="F121" i="5"/>
  <c r="F32" i="6" s="1"/>
  <c r="K120" i="5"/>
  <c r="J120" i="5"/>
  <c r="I120" i="5"/>
  <c r="H120" i="5"/>
  <c r="G120" i="5"/>
  <c r="F120" i="5"/>
  <c r="E120" i="5"/>
  <c r="K115" i="5"/>
  <c r="K29" i="6" s="1"/>
  <c r="J115" i="5"/>
  <c r="J29" i="6" s="1"/>
  <c r="G113" i="5"/>
  <c r="G26" i="6" s="1"/>
  <c r="F113" i="5"/>
  <c r="F26" i="6" s="1"/>
  <c r="K112" i="5"/>
  <c r="K25" i="6" s="1"/>
  <c r="J109" i="5"/>
  <c r="J20" i="6" s="1"/>
  <c r="I109" i="5"/>
  <c r="I20" i="6" s="1"/>
  <c r="H109" i="5"/>
  <c r="H20" i="6" s="1"/>
  <c r="B109" i="5"/>
  <c r="B108" i="5"/>
  <c r="B107" i="5"/>
  <c r="K106" i="5"/>
  <c r="J106" i="5"/>
  <c r="K109" i="5" s="1"/>
  <c r="K20" i="6" s="1"/>
  <c r="I106" i="5"/>
  <c r="H106" i="5"/>
  <c r="G106" i="5"/>
  <c r="F106" i="5"/>
  <c r="G109" i="5" s="1"/>
  <c r="G20" i="6" s="1"/>
  <c r="E106" i="5"/>
  <c r="F109" i="5" s="1"/>
  <c r="F20" i="6" s="1"/>
  <c r="B106" i="5"/>
  <c r="K105" i="5"/>
  <c r="J105" i="5"/>
  <c r="K108" i="5" s="1"/>
  <c r="K19" i="6" s="1"/>
  <c r="I105" i="5"/>
  <c r="H105" i="5"/>
  <c r="G105" i="5"/>
  <c r="H108" i="5" s="1"/>
  <c r="H19" i="6" s="1"/>
  <c r="F105" i="5"/>
  <c r="G108" i="5" s="1"/>
  <c r="G19" i="6" s="1"/>
  <c r="E105" i="5"/>
  <c r="B105" i="5"/>
  <c r="K104" i="5"/>
  <c r="J104" i="5"/>
  <c r="I104" i="5"/>
  <c r="J107" i="5" s="1"/>
  <c r="J18" i="6" s="1"/>
  <c r="H104" i="5"/>
  <c r="I107" i="5" s="1"/>
  <c r="I18" i="6" s="1"/>
  <c r="G104" i="5"/>
  <c r="H107" i="5" s="1"/>
  <c r="H18" i="6" s="1"/>
  <c r="F104" i="5"/>
  <c r="G107" i="5" s="1"/>
  <c r="G18" i="6" s="1"/>
  <c r="E104" i="5"/>
  <c r="F107" i="5" s="1"/>
  <c r="F18" i="6" s="1"/>
  <c r="B104" i="5"/>
  <c r="K103" i="5"/>
  <c r="K23" i="6" s="1"/>
  <c r="J103" i="5"/>
  <c r="J23" i="6" s="1"/>
  <c r="I103" i="5"/>
  <c r="H103" i="5"/>
  <c r="G103" i="5"/>
  <c r="G23" i="6" s="1"/>
  <c r="F103" i="5"/>
  <c r="B103" i="5"/>
  <c r="K102" i="5"/>
  <c r="K22" i="6" s="1"/>
  <c r="J102" i="5"/>
  <c r="J22" i="6" s="1"/>
  <c r="I102" i="5"/>
  <c r="I22" i="6" s="1"/>
  <c r="H102" i="5"/>
  <c r="H22" i="6" s="1"/>
  <c r="G102" i="5"/>
  <c r="G22" i="6" s="1"/>
  <c r="F102" i="5"/>
  <c r="F22" i="6" s="1"/>
  <c r="B102" i="5"/>
  <c r="K101" i="5"/>
  <c r="K21" i="6" s="1"/>
  <c r="J101" i="5"/>
  <c r="J21" i="6" s="1"/>
  <c r="I101" i="5"/>
  <c r="I21" i="6" s="1"/>
  <c r="T21" i="6" s="1"/>
  <c r="H101" i="5"/>
  <c r="H21" i="6" s="1"/>
  <c r="G101" i="5"/>
  <c r="G21" i="6" s="1"/>
  <c r="F101" i="5"/>
  <c r="F21" i="6" s="1"/>
  <c r="B101" i="5"/>
  <c r="K100" i="5"/>
  <c r="J100" i="5"/>
  <c r="I100" i="5"/>
  <c r="H100" i="5"/>
  <c r="G100" i="5"/>
  <c r="F100" i="5"/>
  <c r="E100" i="5"/>
  <c r="B100" i="5"/>
  <c r="K99" i="5"/>
  <c r="J99" i="5"/>
  <c r="I99" i="5"/>
  <c r="H99" i="5"/>
  <c r="G99" i="5"/>
  <c r="F99" i="5"/>
  <c r="E99" i="5"/>
  <c r="B99" i="5"/>
  <c r="K98" i="5"/>
  <c r="J98" i="5"/>
  <c r="I98" i="5"/>
  <c r="H98" i="5"/>
  <c r="G98" i="5"/>
  <c r="F98" i="5"/>
  <c r="E98" i="5"/>
  <c r="B98" i="5"/>
  <c r="B97" i="5"/>
  <c r="K96" i="5"/>
  <c r="K15" i="6" s="1"/>
  <c r="J96" i="5"/>
  <c r="J15" i="6" s="1"/>
  <c r="B96" i="5"/>
  <c r="B95" i="5"/>
  <c r="K94" i="5"/>
  <c r="K16" i="6" s="1"/>
  <c r="J94" i="5"/>
  <c r="J16" i="6" s="1"/>
  <c r="I94" i="5"/>
  <c r="I16" i="6" s="1"/>
  <c r="T16" i="6" s="1"/>
  <c r="H94" i="5"/>
  <c r="H97" i="5" s="1"/>
  <c r="H17" i="6" s="1"/>
  <c r="G94" i="5"/>
  <c r="G97" i="5" s="1"/>
  <c r="G17" i="6" s="1"/>
  <c r="F94" i="5"/>
  <c r="F97" i="5" s="1"/>
  <c r="F17" i="6" s="1"/>
  <c r="B94" i="5"/>
  <c r="K93" i="5"/>
  <c r="K14" i="6" s="1"/>
  <c r="J93" i="5"/>
  <c r="I93" i="5"/>
  <c r="H93" i="5"/>
  <c r="G93" i="5"/>
  <c r="F93" i="5"/>
  <c r="B93" i="5"/>
  <c r="K92" i="5"/>
  <c r="K12" i="6" s="1"/>
  <c r="J92" i="5"/>
  <c r="J12" i="6" s="1"/>
  <c r="I92" i="5"/>
  <c r="I12" i="6" s="1"/>
  <c r="T12" i="6" s="1"/>
  <c r="H92" i="5"/>
  <c r="H12" i="6" s="1"/>
  <c r="G92" i="5"/>
  <c r="G12" i="6" s="1"/>
  <c r="F92" i="5"/>
  <c r="F12" i="6" s="1"/>
  <c r="B92" i="5"/>
  <c r="K91" i="5"/>
  <c r="K97" i="5" s="1"/>
  <c r="K17" i="6" s="1"/>
  <c r="J91" i="5"/>
  <c r="J97" i="5" s="1"/>
  <c r="J17" i="6" s="1"/>
  <c r="I91" i="5"/>
  <c r="I97" i="5" s="1"/>
  <c r="I17" i="6" s="1"/>
  <c r="T17" i="6" s="1"/>
  <c r="H91" i="5"/>
  <c r="G91" i="5"/>
  <c r="F91" i="5"/>
  <c r="B91" i="5"/>
  <c r="K90" i="5"/>
  <c r="J90" i="5"/>
  <c r="I90" i="5"/>
  <c r="I96" i="5" s="1"/>
  <c r="I15" i="6" s="1"/>
  <c r="H90" i="5"/>
  <c r="H96" i="5" s="1"/>
  <c r="G90" i="5"/>
  <c r="G96" i="5" s="1"/>
  <c r="G15" i="6" s="1"/>
  <c r="F90" i="5"/>
  <c r="F96" i="5" s="1"/>
  <c r="F15" i="6" s="1"/>
  <c r="B90" i="5"/>
  <c r="K89" i="5"/>
  <c r="K95" i="5" s="1"/>
  <c r="K13" i="6" s="1"/>
  <c r="J89" i="5"/>
  <c r="J95" i="5" s="1"/>
  <c r="J13" i="6" s="1"/>
  <c r="I89" i="5"/>
  <c r="I95" i="5" s="1"/>
  <c r="I13" i="6" s="1"/>
  <c r="T13" i="6" s="1"/>
  <c r="H89" i="5"/>
  <c r="H95" i="5" s="1"/>
  <c r="H13" i="6" s="1"/>
  <c r="G89" i="5"/>
  <c r="G95" i="5" s="1"/>
  <c r="G13" i="6" s="1"/>
  <c r="F89" i="5"/>
  <c r="F95" i="5" s="1"/>
  <c r="F13" i="6" s="1"/>
  <c r="B89" i="5"/>
  <c r="K80" i="5"/>
  <c r="J80" i="5"/>
  <c r="I80" i="5"/>
  <c r="H80" i="5"/>
  <c r="G80" i="5"/>
  <c r="F80" i="5"/>
  <c r="E80" i="5"/>
  <c r="B79" i="5"/>
  <c r="B78" i="5"/>
  <c r="B77" i="5"/>
  <c r="B76" i="5"/>
  <c r="B75" i="5"/>
  <c r="B74" i="5"/>
  <c r="K66" i="5"/>
  <c r="K69" i="5" s="1"/>
  <c r="K70" i="5" s="1"/>
  <c r="J66" i="5"/>
  <c r="J69" i="5" s="1"/>
  <c r="J70" i="5" s="1"/>
  <c r="I66" i="5"/>
  <c r="I69" i="5" s="1"/>
  <c r="I70" i="5" s="1"/>
  <c r="H66" i="5"/>
  <c r="H69" i="5" s="1"/>
  <c r="H70" i="5" s="1"/>
  <c r="G66" i="5"/>
  <c r="G69" i="5" s="1"/>
  <c r="G70" i="5" s="1"/>
  <c r="F66" i="5"/>
  <c r="F69" i="5" s="1"/>
  <c r="F70" i="5" s="1"/>
  <c r="E66" i="5"/>
  <c r="E69" i="5" s="1"/>
  <c r="K50" i="5"/>
  <c r="K58" i="5" s="1"/>
  <c r="K59" i="5" s="1"/>
  <c r="J50" i="5"/>
  <c r="J58" i="5" s="1"/>
  <c r="I50" i="5"/>
  <c r="I58" i="5" s="1"/>
  <c r="H50" i="5"/>
  <c r="H58" i="5" s="1"/>
  <c r="G50" i="5"/>
  <c r="G58" i="5" s="1"/>
  <c r="F50" i="5"/>
  <c r="F58" i="5" s="1"/>
  <c r="E50" i="5"/>
  <c r="E58" i="5" s="1"/>
  <c r="K47" i="5"/>
  <c r="J47" i="5"/>
  <c r="I47" i="5"/>
  <c r="H47" i="5"/>
  <c r="G47" i="5"/>
  <c r="F47" i="5"/>
  <c r="E47" i="5"/>
  <c r="K12" i="5"/>
  <c r="K119" i="5" s="1"/>
  <c r="J12" i="5"/>
  <c r="J112" i="5" s="1"/>
  <c r="J25" i="6" s="1"/>
  <c r="I12" i="5"/>
  <c r="H12" i="5"/>
  <c r="H111" i="5" s="1"/>
  <c r="H24" i="6" s="1"/>
  <c r="G12" i="5"/>
  <c r="F12" i="5"/>
  <c r="F117" i="5" s="1"/>
  <c r="E12" i="5"/>
  <c r="E117" i="5" s="1"/>
  <c r="B11" i="5"/>
  <c r="B10" i="5"/>
  <c r="B9" i="5"/>
  <c r="K5" i="5"/>
  <c r="B5" i="5"/>
  <c r="K3" i="5"/>
  <c r="J3" i="5"/>
  <c r="J5" i="5" s="1"/>
  <c r="I3" i="5"/>
  <c r="I5" i="5" s="1"/>
  <c r="H3" i="5"/>
  <c r="H5" i="5" s="1"/>
  <c r="G3" i="5"/>
  <c r="G5" i="5" s="1"/>
  <c r="F3" i="5"/>
  <c r="F5" i="5" s="1"/>
  <c r="E3" i="5"/>
  <c r="E5" i="5" s="1"/>
  <c r="K1" i="5"/>
  <c r="C60" i="4"/>
  <c r="F103" i="14" s="1"/>
  <c r="C57" i="4"/>
  <c r="C54" i="4"/>
  <c r="H49" i="6" s="1"/>
  <c r="C42" i="4"/>
  <c r="C32" i="4"/>
  <c r="C31" i="4"/>
  <c r="C18" i="4"/>
  <c r="C19" i="4" s="1"/>
  <c r="D8" i="3"/>
  <c r="D15" i="1"/>
  <c r="D10" i="1"/>
  <c r="D7" i="1"/>
  <c r="S3" i="10" l="1"/>
  <c r="S5" i="10" s="1"/>
  <c r="P3" i="8"/>
  <c r="P5" i="8" s="1"/>
  <c r="R3" i="6"/>
  <c r="R5" i="6" s="1"/>
  <c r="M3" i="6"/>
  <c r="M5" i="6" s="1"/>
  <c r="L3" i="6"/>
  <c r="L5" i="6" s="1"/>
  <c r="C22" i="4"/>
  <c r="C23" i="4" s="1"/>
  <c r="E14" i="14" s="1"/>
  <c r="L3" i="10"/>
  <c r="L5" i="10" s="1"/>
  <c r="E31" i="6"/>
  <c r="E30" i="6"/>
  <c r="H4" i="24"/>
  <c r="H5" i="23"/>
  <c r="F29" i="8"/>
  <c r="F47" i="8"/>
  <c r="J47" i="8"/>
  <c r="H125" i="5"/>
  <c r="G16" i="6"/>
  <c r="I11" i="8"/>
  <c r="T15" i="6"/>
  <c r="G25" i="8"/>
  <c r="J72" i="8"/>
  <c r="K72" i="8"/>
  <c r="F59" i="5"/>
  <c r="K55" i="10"/>
  <c r="K57" i="10" s="1"/>
  <c r="J18" i="8"/>
  <c r="G32" i="8"/>
  <c r="F41" i="8"/>
  <c r="G72" i="8"/>
  <c r="G73" i="8" s="1"/>
  <c r="C12" i="13"/>
  <c r="C22" i="13" s="1"/>
  <c r="D31" i="16"/>
  <c r="M141" i="8"/>
  <c r="E42" i="8"/>
  <c r="F43" i="8" s="1"/>
  <c r="K39" i="8"/>
  <c r="I5" i="17"/>
  <c r="H16" i="6"/>
  <c r="G17" i="8"/>
  <c r="E14" i="5"/>
  <c r="E17" i="5" s="1"/>
  <c r="I125" i="5"/>
  <c r="I17" i="8"/>
  <c r="H35" i="8"/>
  <c r="H33" i="8" s="1"/>
  <c r="K21" i="10"/>
  <c r="J135" i="8"/>
  <c r="E55" i="14"/>
  <c r="K32" i="8"/>
  <c r="J46" i="8"/>
  <c r="E72" i="8"/>
  <c r="E73" i="8" s="1"/>
  <c r="K61" i="11"/>
  <c r="K73" i="11" s="1"/>
  <c r="D32" i="16"/>
  <c r="E30" i="16"/>
  <c r="F33" i="14"/>
  <c r="I16" i="10"/>
  <c r="T20" i="6"/>
  <c r="I60" i="11"/>
  <c r="F16" i="6"/>
  <c r="E61" i="11"/>
  <c r="E73" i="11" s="1"/>
  <c r="I78" i="10"/>
  <c r="F35" i="8"/>
  <c r="J78" i="10"/>
  <c r="F45" i="8"/>
  <c r="E59" i="5"/>
  <c r="J125" i="5"/>
  <c r="F28" i="8"/>
  <c r="I135" i="8"/>
  <c r="D31" i="25"/>
  <c r="E31" i="25" s="1"/>
  <c r="I18" i="8"/>
  <c r="G112" i="8"/>
  <c r="G46" i="10" s="1"/>
  <c r="G49" i="10" s="1"/>
  <c r="G53" i="10" s="1"/>
  <c r="E63" i="10"/>
  <c r="D32" i="19"/>
  <c r="H48" i="6"/>
  <c r="L71" i="6" s="1"/>
  <c r="H50" i="6"/>
  <c r="S77" i="6" s="1"/>
  <c r="F7" i="17"/>
  <c r="C30" i="13"/>
  <c r="C11" i="13" s="1"/>
  <c r="I46" i="10"/>
  <c r="I49" i="10" s="1"/>
  <c r="I53" i="10" s="1"/>
  <c r="I119" i="8"/>
  <c r="I113" i="8"/>
  <c r="J119" i="8"/>
  <c r="J113" i="8"/>
  <c r="J46" i="10"/>
  <c r="J49" i="10" s="1"/>
  <c r="J53" i="10" s="1"/>
  <c r="F25" i="21"/>
  <c r="F28" i="21"/>
  <c r="G6" i="19"/>
  <c r="B8" i="19"/>
  <c r="F26" i="21"/>
  <c r="I5" i="23"/>
  <c r="F24" i="21"/>
  <c r="I4" i="24"/>
  <c r="F27" i="21"/>
  <c r="I28" i="8"/>
  <c r="I25" i="8"/>
  <c r="F108" i="5"/>
  <c r="F19" i="6" s="1"/>
  <c r="H16" i="10"/>
  <c r="H72" i="8"/>
  <c r="H73" i="8" s="1"/>
  <c r="E58" i="11"/>
  <c r="E42" i="10"/>
  <c r="I115" i="5"/>
  <c r="I29" i="6" s="1"/>
  <c r="T29" i="6" s="1"/>
  <c r="I14" i="5"/>
  <c r="I88" i="5"/>
  <c r="I121" i="5"/>
  <c r="I32" i="6" s="1"/>
  <c r="I119" i="5"/>
  <c r="I117" i="5"/>
  <c r="I113" i="5"/>
  <c r="I26" i="6" s="1"/>
  <c r="F61" i="10"/>
  <c r="F63" i="10" s="1"/>
  <c r="F61" i="11"/>
  <c r="F73" i="11" s="1"/>
  <c r="K53" i="11"/>
  <c r="K137" i="8"/>
  <c r="K73" i="8"/>
  <c r="K78" i="10"/>
  <c r="K33" i="14"/>
  <c r="J59" i="5"/>
  <c r="J119" i="5"/>
  <c r="D18" i="25"/>
  <c r="E18" i="25" s="1"/>
  <c r="P46" i="14"/>
  <c r="R46" i="14"/>
  <c r="S46" i="14"/>
  <c r="Q46" i="14"/>
  <c r="H137" i="8"/>
  <c r="H55" i="10"/>
  <c r="H53" i="11"/>
  <c r="G119" i="8"/>
  <c r="H124" i="5"/>
  <c r="H34" i="6" s="1"/>
  <c r="H119" i="5"/>
  <c r="H88" i="5"/>
  <c r="H115" i="5"/>
  <c r="H29" i="6" s="1"/>
  <c r="H14" i="5"/>
  <c r="H121" i="5"/>
  <c r="H32" i="6" s="1"/>
  <c r="H113" i="5"/>
  <c r="H26" i="6" s="1"/>
  <c r="I49" i="8"/>
  <c r="I47" i="8" s="1"/>
  <c r="G17" i="11"/>
  <c r="F42" i="10"/>
  <c r="F58" i="11"/>
  <c r="F75" i="11"/>
  <c r="J113" i="5"/>
  <c r="J26" i="6" s="1"/>
  <c r="J14" i="5"/>
  <c r="J121" i="5"/>
  <c r="J32" i="6" s="1"/>
  <c r="J88" i="5"/>
  <c r="J117" i="5"/>
  <c r="I43" i="8"/>
  <c r="G58" i="11"/>
  <c r="G42" i="10"/>
  <c r="G75" i="11"/>
  <c r="L27" i="10"/>
  <c r="L72" i="10" s="1"/>
  <c r="G59" i="5"/>
  <c r="F30" i="6"/>
  <c r="F31" i="6"/>
  <c r="J124" i="5"/>
  <c r="J34" i="6" s="1"/>
  <c r="I59" i="5"/>
  <c r="I111" i="5"/>
  <c r="I24" i="6" s="1"/>
  <c r="H117" i="5"/>
  <c r="K124" i="5"/>
  <c r="K34" i="6" s="1"/>
  <c r="L72" i="6"/>
  <c r="P72" i="6"/>
  <c r="R72" i="6"/>
  <c r="Q72" i="6"/>
  <c r="M72" i="6"/>
  <c r="S72" i="6"/>
  <c r="O72" i="6"/>
  <c r="N72" i="6"/>
  <c r="J111" i="5"/>
  <c r="J24" i="6" s="1"/>
  <c r="H27" i="8"/>
  <c r="H28" i="8"/>
  <c r="I29" i="8" s="1"/>
  <c r="H25" i="8"/>
  <c r="I108" i="5"/>
  <c r="I19" i="6" s="1"/>
  <c r="J108" i="5"/>
  <c r="J19" i="6" s="1"/>
  <c r="J27" i="8"/>
  <c r="J28" i="8"/>
  <c r="J25" i="8"/>
  <c r="G119" i="5"/>
  <c r="G88" i="5"/>
  <c r="G111" i="5"/>
  <c r="G24" i="6" s="1"/>
  <c r="G112" i="5"/>
  <c r="G25" i="6" s="1"/>
  <c r="G115" i="5"/>
  <c r="G29" i="6" s="1"/>
  <c r="G14" i="5"/>
  <c r="S40" i="15"/>
  <c r="N5" i="23"/>
  <c r="N4" i="24"/>
  <c r="AA40" i="15"/>
  <c r="K27" i="8"/>
  <c r="K28" i="8"/>
  <c r="K52" i="8"/>
  <c r="K25" i="8"/>
  <c r="E135" i="8"/>
  <c r="F135" i="5"/>
  <c r="F37" i="6" s="1"/>
  <c r="F58" i="8"/>
  <c r="G61" i="8" s="1"/>
  <c r="G11" i="11" s="1"/>
  <c r="F21" i="8"/>
  <c r="I32" i="8"/>
  <c r="I35" i="8"/>
  <c r="I33" i="8" s="1"/>
  <c r="G58" i="8"/>
  <c r="G21" i="8"/>
  <c r="J58" i="8"/>
  <c r="J35" i="8"/>
  <c r="J33" i="8" s="1"/>
  <c r="H58" i="8"/>
  <c r="H21" i="8"/>
  <c r="I60" i="8"/>
  <c r="K35" i="8"/>
  <c r="K33" i="8" s="1"/>
  <c r="K14" i="5"/>
  <c r="K113" i="5"/>
  <c r="K26" i="6" s="1"/>
  <c r="K121" i="5"/>
  <c r="K32" i="6" s="1"/>
  <c r="K111" i="5"/>
  <c r="K24" i="6" s="1"/>
  <c r="K88" i="5"/>
  <c r="K117" i="5"/>
  <c r="K58" i="8"/>
  <c r="H14" i="23"/>
  <c r="H13" i="24"/>
  <c r="J75" i="11"/>
  <c r="H22" i="24" s="1"/>
  <c r="J58" i="11"/>
  <c r="J42" i="10"/>
  <c r="K17" i="11"/>
  <c r="I124" i="5"/>
  <c r="I34" i="6" s="1"/>
  <c r="K48" i="10"/>
  <c r="L118" i="8"/>
  <c r="H59" i="5"/>
  <c r="G117" i="5"/>
  <c r="O71" i="6"/>
  <c r="N71" i="6"/>
  <c r="R71" i="6"/>
  <c r="D8" i="25"/>
  <c r="E8" i="25" s="1"/>
  <c r="H112" i="5"/>
  <c r="H25" i="6" s="1"/>
  <c r="T22" i="6"/>
  <c r="I112" i="5"/>
  <c r="I25" i="6" s="1"/>
  <c r="T25" i="6" s="1"/>
  <c r="G124" i="5"/>
  <c r="G34" i="6" s="1"/>
  <c r="G18" i="8"/>
  <c r="K112" i="8"/>
  <c r="G53" i="11"/>
  <c r="G55" i="10"/>
  <c r="G137" i="8"/>
  <c r="L87" i="10"/>
  <c r="E17" i="10"/>
  <c r="E52" i="8"/>
  <c r="E14" i="8"/>
  <c r="J53" i="11"/>
  <c r="J137" i="8"/>
  <c r="J55" i="10"/>
  <c r="L142" i="8"/>
  <c r="K59" i="10"/>
  <c r="E82" i="14"/>
  <c r="F52" i="8"/>
  <c r="F13" i="8"/>
  <c r="F14" i="8"/>
  <c r="G75" i="8"/>
  <c r="G76" i="8" s="1"/>
  <c r="G66" i="11"/>
  <c r="C17" i="24"/>
  <c r="D15" i="23"/>
  <c r="D22" i="16"/>
  <c r="K66" i="11"/>
  <c r="H66" i="11"/>
  <c r="L66" i="11"/>
  <c r="M66" i="11"/>
  <c r="J66" i="11"/>
  <c r="O66" i="11"/>
  <c r="E66" i="11"/>
  <c r="S66" i="11"/>
  <c r="F66" i="11"/>
  <c r="C48" i="4"/>
  <c r="C8" i="24" s="1"/>
  <c r="R66" i="11"/>
  <c r="Q66" i="11"/>
  <c r="P66" i="11"/>
  <c r="N66" i="11"/>
  <c r="I66" i="11"/>
  <c r="G52" i="8"/>
  <c r="G14" i="8"/>
  <c r="H17" i="8"/>
  <c r="G45" i="8"/>
  <c r="G47" i="8" s="1"/>
  <c r="G46" i="8"/>
  <c r="G27" i="10"/>
  <c r="G72" i="10" s="1"/>
  <c r="E27" i="10"/>
  <c r="G5" i="23"/>
  <c r="H13" i="8"/>
  <c r="H14" i="8"/>
  <c r="I15" i="8" s="1"/>
  <c r="H45" i="8"/>
  <c r="H46" i="8"/>
  <c r="H52" i="8"/>
  <c r="E27" i="14"/>
  <c r="E32" i="14" s="1"/>
  <c r="E43" i="11"/>
  <c r="E21" i="10"/>
  <c r="J63" i="10"/>
  <c r="E112" i="8"/>
  <c r="E125" i="5"/>
  <c r="E75" i="8"/>
  <c r="E76" i="8" s="1"/>
  <c r="I27" i="10"/>
  <c r="I72" i="10" s="1"/>
  <c r="H27" i="10"/>
  <c r="H72" i="10" s="1"/>
  <c r="K63" i="10"/>
  <c r="K65" i="10" s="1"/>
  <c r="K47" i="8"/>
  <c r="H46" i="6"/>
  <c r="H45" i="6"/>
  <c r="H44" i="6"/>
  <c r="E8" i="6"/>
  <c r="H52" i="6"/>
  <c r="H95" i="6" s="1"/>
  <c r="H51" i="6"/>
  <c r="H91" i="6" s="1"/>
  <c r="E113" i="5"/>
  <c r="E26" i="6" s="1"/>
  <c r="E111" i="5"/>
  <c r="E24" i="6" s="1"/>
  <c r="E112" i="5"/>
  <c r="E25" i="6" s="1"/>
  <c r="E115" i="5"/>
  <c r="E29" i="6" s="1"/>
  <c r="E119" i="5"/>
  <c r="F112" i="8"/>
  <c r="F125" i="5"/>
  <c r="J32" i="8"/>
  <c r="I46" i="8"/>
  <c r="F88" i="5"/>
  <c r="F119" i="5"/>
  <c r="F111" i="5"/>
  <c r="F24" i="6" s="1"/>
  <c r="F112" i="5"/>
  <c r="F25" i="6" s="1"/>
  <c r="F14" i="5"/>
  <c r="F115" i="5"/>
  <c r="F29" i="6" s="1"/>
  <c r="K107" i="5"/>
  <c r="K18" i="6" s="1"/>
  <c r="T18" i="6" s="1"/>
  <c r="H47" i="6"/>
  <c r="K18" i="8"/>
  <c r="K31" i="8"/>
  <c r="F75" i="8"/>
  <c r="F76" i="8" s="1"/>
  <c r="J27" i="10"/>
  <c r="J72" i="10" s="1"/>
  <c r="F39" i="8"/>
  <c r="S133" i="8"/>
  <c r="H63" i="10"/>
  <c r="G60" i="11"/>
  <c r="G33" i="8"/>
  <c r="H75" i="11"/>
  <c r="H58" i="11"/>
  <c r="H42" i="10"/>
  <c r="H46" i="10"/>
  <c r="H49" i="10" s="1"/>
  <c r="H53" i="10" s="1"/>
  <c r="J15" i="13"/>
  <c r="J14" i="13"/>
  <c r="M6" i="13"/>
  <c r="F53" i="11"/>
  <c r="F55" i="10"/>
  <c r="N3" i="6"/>
  <c r="N5" i="6" s="1"/>
  <c r="Q3" i="8"/>
  <c r="Q5" i="8" s="1"/>
  <c r="I13" i="8"/>
  <c r="I52" i="8"/>
  <c r="F27" i="14"/>
  <c r="F32" i="14" s="1"/>
  <c r="F43" i="11"/>
  <c r="H119" i="8"/>
  <c r="L133" i="8"/>
  <c r="I137" i="8"/>
  <c r="N3" i="10"/>
  <c r="N5" i="10" s="1"/>
  <c r="O3" i="6"/>
  <c r="O5" i="6" s="1"/>
  <c r="R3" i="8"/>
  <c r="R5" i="8" s="1"/>
  <c r="J14" i="8"/>
  <c r="K15" i="8" s="1"/>
  <c r="J52" i="8"/>
  <c r="J11" i="8"/>
  <c r="G28" i="8"/>
  <c r="K46" i="8"/>
  <c r="H75" i="8"/>
  <c r="H76" i="8" s="1"/>
  <c r="G27" i="14"/>
  <c r="G32" i="14" s="1"/>
  <c r="G21" i="10"/>
  <c r="G43" i="11"/>
  <c r="M133" i="8"/>
  <c r="R3" i="10"/>
  <c r="R5" i="10" s="1"/>
  <c r="P3" i="6"/>
  <c r="P5" i="6" s="1"/>
  <c r="S3" i="8"/>
  <c r="S5" i="8" s="1"/>
  <c r="H43" i="11"/>
  <c r="H21" i="10"/>
  <c r="H60" i="11"/>
  <c r="H61" i="11"/>
  <c r="H73" i="11" s="1"/>
  <c r="G33" i="14"/>
  <c r="N133" i="8"/>
  <c r="P3" i="14"/>
  <c r="P5" i="14" s="1"/>
  <c r="R3" i="14"/>
  <c r="R5" i="14" s="1"/>
  <c r="Q3" i="14"/>
  <c r="Q5" i="14" s="1"/>
  <c r="S3" i="14"/>
  <c r="S5" i="14" s="1"/>
  <c r="M3" i="11"/>
  <c r="M5" i="11" s="1"/>
  <c r="P3" i="11"/>
  <c r="P5" i="11" s="1"/>
  <c r="M3" i="14"/>
  <c r="M5" i="14" s="1"/>
  <c r="R3" i="11"/>
  <c r="R5" i="11" s="1"/>
  <c r="P3" i="10"/>
  <c r="P5" i="10" s="1"/>
  <c r="M3" i="8"/>
  <c r="M5" i="8" s="1"/>
  <c r="L3" i="14"/>
  <c r="L5" i="14" s="1"/>
  <c r="Q3" i="11"/>
  <c r="Q5" i="11" s="1"/>
  <c r="O3" i="10"/>
  <c r="O5" i="10" s="1"/>
  <c r="L3" i="8"/>
  <c r="L5" i="8" s="1"/>
  <c r="N3" i="11"/>
  <c r="N5" i="11" s="1"/>
  <c r="M3" i="10"/>
  <c r="M5" i="10" s="1"/>
  <c r="N3" i="14"/>
  <c r="N5" i="14" s="1"/>
  <c r="S3" i="11"/>
  <c r="S5" i="11" s="1"/>
  <c r="Q3" i="10"/>
  <c r="Q5" i="10" s="1"/>
  <c r="O3" i="8"/>
  <c r="O5" i="8" s="1"/>
  <c r="N3" i="8"/>
  <c r="N5" i="8" s="1"/>
  <c r="O3" i="11"/>
  <c r="O5" i="11" s="1"/>
  <c r="O3" i="14"/>
  <c r="O5" i="14" s="1"/>
  <c r="L3" i="11"/>
  <c r="L5" i="11" s="1"/>
  <c r="S3" i="6"/>
  <c r="S5" i="6" s="1"/>
  <c r="K14" i="8"/>
  <c r="K11" i="8"/>
  <c r="C20" i="4"/>
  <c r="Q3" i="6"/>
  <c r="Q5" i="6" s="1"/>
  <c r="T23" i="6"/>
  <c r="E18" i="8"/>
  <c r="F32" i="8"/>
  <c r="I43" i="11"/>
  <c r="I27" i="14"/>
  <c r="I32" i="14" s="1"/>
  <c r="Q133" i="8"/>
  <c r="R133" i="8"/>
  <c r="F18" i="8"/>
  <c r="F17" i="8"/>
  <c r="F60" i="8" s="1"/>
  <c r="E58" i="8"/>
  <c r="E67" i="8" s="1"/>
  <c r="E42" i="11" s="1"/>
  <c r="F33" i="8"/>
  <c r="F72" i="8"/>
  <c r="F73" i="8"/>
  <c r="P133" i="8"/>
  <c r="F21" i="10"/>
  <c r="G63" i="10"/>
  <c r="L44" i="14"/>
  <c r="L46" i="14"/>
  <c r="C19" i="24"/>
  <c r="C31" i="13"/>
  <c r="E75" i="14"/>
  <c r="C27" i="16"/>
  <c r="T14" i="6"/>
  <c r="I42" i="8"/>
  <c r="I41" i="8"/>
  <c r="O46" i="14"/>
  <c r="O44" i="14"/>
  <c r="J61" i="11"/>
  <c r="J73" i="11" s="1"/>
  <c r="I21" i="8"/>
  <c r="I19" i="8" s="1"/>
  <c r="J21" i="8"/>
  <c r="J19" i="8" s="1"/>
  <c r="E32" i="8"/>
  <c r="J41" i="8"/>
  <c r="J42" i="8"/>
  <c r="K43" i="8" s="1"/>
  <c r="I58" i="8"/>
  <c r="N44" i="14"/>
  <c r="N46" i="14"/>
  <c r="H39" i="8"/>
  <c r="J73" i="8"/>
  <c r="K43" i="11"/>
  <c r="L131" i="8"/>
  <c r="L82" i="10" s="1"/>
  <c r="H32" i="8"/>
  <c r="G39" i="8"/>
  <c r="I73" i="8"/>
  <c r="J43" i="11"/>
  <c r="J21" i="10"/>
  <c r="K27" i="10"/>
  <c r="K72" i="10" s="1"/>
  <c r="G14" i="23"/>
  <c r="G13" i="24"/>
  <c r="J17" i="11"/>
  <c r="I42" i="10"/>
  <c r="I14" i="23"/>
  <c r="I13" i="24"/>
  <c r="K75" i="11"/>
  <c r="I22" i="24" s="1"/>
  <c r="M46" i="14"/>
  <c r="M44" i="14"/>
  <c r="D14" i="23"/>
  <c r="C23" i="24"/>
  <c r="I7" i="17"/>
  <c r="D30" i="16"/>
  <c r="F32" i="16"/>
  <c r="E32" i="16"/>
  <c r="F29" i="16"/>
  <c r="E29" i="16"/>
  <c r="D29" i="16"/>
  <c r="D33" i="19"/>
  <c r="C33" i="19"/>
  <c r="C34" i="19" s="1"/>
  <c r="E5" i="17"/>
  <c r="K5" i="17" s="1"/>
  <c r="H60" i="8" l="1"/>
  <c r="J29" i="8"/>
  <c r="Q71" i="6"/>
  <c r="S71" i="6"/>
  <c r="T24" i="6"/>
  <c r="R77" i="6"/>
  <c r="Q77" i="6"/>
  <c r="M71" i="6"/>
  <c r="I53" i="11"/>
  <c r="I55" i="10"/>
  <c r="H113" i="8"/>
  <c r="H123" i="8" s="1"/>
  <c r="G19" i="8"/>
  <c r="P71" i="6"/>
  <c r="E110" i="5"/>
  <c r="T34" i="6"/>
  <c r="P77" i="6"/>
  <c r="G15" i="8"/>
  <c r="O77" i="6"/>
  <c r="K60" i="8"/>
  <c r="I54" i="8"/>
  <c r="I55" i="8" s="1"/>
  <c r="G54" i="8"/>
  <c r="N141" i="8"/>
  <c r="M52" i="10"/>
  <c r="N77" i="6"/>
  <c r="H19" i="8"/>
  <c r="D7" i="25"/>
  <c r="E7" i="25" s="1"/>
  <c r="J54" i="8"/>
  <c r="J56" i="8" s="1"/>
  <c r="J46" i="11" s="1"/>
  <c r="F19" i="8"/>
  <c r="L77" i="6"/>
  <c r="M77" i="6"/>
  <c r="K10" i="11"/>
  <c r="H10" i="11"/>
  <c r="H62" i="8"/>
  <c r="H12" i="11" s="1"/>
  <c r="L65" i="6"/>
  <c r="L28" i="8" s="1"/>
  <c r="P65" i="6"/>
  <c r="O65" i="6"/>
  <c r="N65" i="6"/>
  <c r="S58" i="6"/>
  <c r="M65" i="6"/>
  <c r="Q62" i="6"/>
  <c r="N60" i="6"/>
  <c r="P62" i="6"/>
  <c r="M60" i="6"/>
  <c r="S64" i="6"/>
  <c r="O62" i="6"/>
  <c r="L60" i="6"/>
  <c r="R64" i="6"/>
  <c r="N62" i="6"/>
  <c r="L66" i="6"/>
  <c r="L42" i="8" s="1"/>
  <c r="S62" i="6"/>
  <c r="R58" i="6"/>
  <c r="R62" i="6"/>
  <c r="S65" i="6"/>
  <c r="M62" i="6"/>
  <c r="R65" i="6"/>
  <c r="L62" i="6"/>
  <c r="Q65" i="6"/>
  <c r="Q64" i="6"/>
  <c r="P66" i="6"/>
  <c r="O66" i="6"/>
  <c r="P60" i="6"/>
  <c r="N64" i="6"/>
  <c r="O60" i="6"/>
  <c r="L64" i="6"/>
  <c r="L14" i="8" s="1"/>
  <c r="Q58" i="6"/>
  <c r="P58" i="6"/>
  <c r="N58" i="6"/>
  <c r="M58" i="6"/>
  <c r="N66" i="6"/>
  <c r="M66" i="6"/>
  <c r="R60" i="6"/>
  <c r="Q60" i="6"/>
  <c r="M64" i="6"/>
  <c r="O58" i="6"/>
  <c r="S66" i="6"/>
  <c r="Q66" i="6"/>
  <c r="L58" i="6"/>
  <c r="S60" i="6"/>
  <c r="P64" i="6"/>
  <c r="O64" i="6"/>
  <c r="R66" i="6"/>
  <c r="M118" i="8"/>
  <c r="L48" i="10"/>
  <c r="H110" i="5"/>
  <c r="H17" i="5"/>
  <c r="J59" i="8"/>
  <c r="J67" i="8"/>
  <c r="K61" i="8"/>
  <c r="K11" i="11" s="1"/>
  <c r="J31" i="6"/>
  <c r="J30" i="6"/>
  <c r="C37" i="19"/>
  <c r="C9" i="19" s="1"/>
  <c r="C36" i="19"/>
  <c r="C8" i="19" s="1"/>
  <c r="C35" i="19"/>
  <c r="C8" i="13"/>
  <c r="C10" i="13" s="1"/>
  <c r="C13" i="13" s="1"/>
  <c r="C16" i="13" s="1"/>
  <c r="M14" i="13"/>
  <c r="M15" i="13"/>
  <c r="K59" i="8"/>
  <c r="K67" i="8"/>
  <c r="K45" i="11" s="1"/>
  <c r="I34" i="14"/>
  <c r="I74" i="10"/>
  <c r="I123" i="8"/>
  <c r="I44" i="11" s="1"/>
  <c r="E23" i="14"/>
  <c r="E9" i="10"/>
  <c r="E79" i="11"/>
  <c r="E69" i="8"/>
  <c r="F54" i="8"/>
  <c r="F56" i="8" s="1"/>
  <c r="F46" i="11" s="1"/>
  <c r="E53" i="11"/>
  <c r="E137" i="8"/>
  <c r="E55" i="10"/>
  <c r="I31" i="6"/>
  <c r="I30" i="6"/>
  <c r="C26" i="15"/>
  <c r="C27" i="15"/>
  <c r="C23" i="15"/>
  <c r="C24" i="15"/>
  <c r="E61" i="14"/>
  <c r="C25" i="15"/>
  <c r="H47" i="8"/>
  <c r="F110" i="5"/>
  <c r="F17" i="5"/>
  <c r="G30" i="6"/>
  <c r="G31" i="6"/>
  <c r="K110" i="5"/>
  <c r="K17" i="5"/>
  <c r="T19" i="6"/>
  <c r="E33" i="5"/>
  <c r="E114" i="5"/>
  <c r="E21" i="5"/>
  <c r="E24" i="5" s="1"/>
  <c r="T32" i="6"/>
  <c r="I67" i="8"/>
  <c r="I59" i="8"/>
  <c r="J61" i="8"/>
  <c r="J11" i="11" s="1"/>
  <c r="N5" i="16"/>
  <c r="Q40" i="15"/>
  <c r="K5" i="16"/>
  <c r="L5" i="23"/>
  <c r="Q5" i="16"/>
  <c r="H5" i="16"/>
  <c r="L4" i="24"/>
  <c r="I12" i="20"/>
  <c r="Y40" i="15"/>
  <c r="R40" i="15"/>
  <c r="M5" i="23"/>
  <c r="M4" i="24"/>
  <c r="Z40" i="15"/>
  <c r="L63" i="6"/>
  <c r="L61" i="6"/>
  <c r="L59" i="6"/>
  <c r="N63" i="6"/>
  <c r="O63" i="6"/>
  <c r="N61" i="6"/>
  <c r="M59" i="6"/>
  <c r="M61" i="6"/>
  <c r="M63" i="6"/>
  <c r="R59" i="6"/>
  <c r="Q59" i="6"/>
  <c r="P59" i="6"/>
  <c r="O59" i="6"/>
  <c r="R61" i="6"/>
  <c r="N59" i="6"/>
  <c r="S61" i="6"/>
  <c r="Q61" i="6"/>
  <c r="R63" i="6"/>
  <c r="O61" i="6"/>
  <c r="P63" i="6"/>
  <c r="S59" i="6"/>
  <c r="P61" i="6"/>
  <c r="S63" i="6"/>
  <c r="Q63" i="6"/>
  <c r="D16" i="23"/>
  <c r="C18" i="24"/>
  <c r="E67" i="11"/>
  <c r="G67" i="11"/>
  <c r="L67" i="11"/>
  <c r="I67" i="11"/>
  <c r="R67" i="11"/>
  <c r="O67" i="11"/>
  <c r="S67" i="11"/>
  <c r="Q67" i="11"/>
  <c r="H67" i="11"/>
  <c r="J67" i="11"/>
  <c r="M67" i="11"/>
  <c r="K67" i="11"/>
  <c r="N67" i="11"/>
  <c r="C49" i="4"/>
  <c r="F67" i="11"/>
  <c r="P67" i="11"/>
  <c r="I10" i="11"/>
  <c r="H87" i="10"/>
  <c r="G57" i="10"/>
  <c r="G65" i="10" s="1"/>
  <c r="G66" i="10" s="1"/>
  <c r="H59" i="8"/>
  <c r="H67" i="8"/>
  <c r="I61" i="8"/>
  <c r="I11" i="11" s="1"/>
  <c r="K119" i="8"/>
  <c r="K113" i="8"/>
  <c r="K46" i="10"/>
  <c r="K49" i="10" s="1"/>
  <c r="K53" i="10" s="1"/>
  <c r="K66" i="10" s="1"/>
  <c r="H31" i="6"/>
  <c r="H30" i="6"/>
  <c r="C12" i="20"/>
  <c r="L5" i="16"/>
  <c r="J5" i="23"/>
  <c r="O40" i="15"/>
  <c r="W40" i="15"/>
  <c r="I5" i="16"/>
  <c r="J4" i="24"/>
  <c r="O5" i="16"/>
  <c r="F5" i="16"/>
  <c r="AB40" i="15"/>
  <c r="T40" i="15"/>
  <c r="G17" i="5"/>
  <c r="G110" i="5"/>
  <c r="F119" i="8"/>
  <c r="F46" i="10"/>
  <c r="F49" i="10" s="1"/>
  <c r="F53" i="10" s="1"/>
  <c r="G113" i="8"/>
  <c r="F113" i="8"/>
  <c r="M142" i="8"/>
  <c r="L59" i="10"/>
  <c r="J34" i="14"/>
  <c r="J74" i="10"/>
  <c r="AC40" i="15"/>
  <c r="U40" i="15"/>
  <c r="J15" i="8"/>
  <c r="I87" i="10"/>
  <c r="H57" i="10"/>
  <c r="H65" i="10" s="1"/>
  <c r="H66" i="10" s="1"/>
  <c r="F12" i="20"/>
  <c r="M5" i="16"/>
  <c r="P40" i="15"/>
  <c r="S5" i="16"/>
  <c r="K5" i="23"/>
  <c r="R5" i="16"/>
  <c r="X40" i="15"/>
  <c r="K4" i="24"/>
  <c r="J5" i="16"/>
  <c r="D26" i="16"/>
  <c r="P5" i="16"/>
  <c r="G5" i="16"/>
  <c r="E46" i="10"/>
  <c r="E49" i="10" s="1"/>
  <c r="E53" i="10" s="1"/>
  <c r="E119" i="8"/>
  <c r="E45" i="11"/>
  <c r="H15" i="8"/>
  <c r="K30" i="6"/>
  <c r="K31" i="6"/>
  <c r="G60" i="8"/>
  <c r="J123" i="8"/>
  <c r="J43" i="8"/>
  <c r="AD40" i="15"/>
  <c r="V40" i="15"/>
  <c r="F53" i="15"/>
  <c r="B6" i="19"/>
  <c r="H54" i="8"/>
  <c r="F15" i="8"/>
  <c r="F67" i="8"/>
  <c r="F45" i="11" s="1"/>
  <c r="F59" i="8"/>
  <c r="Q70" i="6"/>
  <c r="P70" i="6"/>
  <c r="O70" i="6"/>
  <c r="N70" i="6"/>
  <c r="S70" i="6"/>
  <c r="R70" i="6"/>
  <c r="L70" i="6"/>
  <c r="M70" i="6"/>
  <c r="F61" i="8"/>
  <c r="F11" i="11" s="1"/>
  <c r="K29" i="8"/>
  <c r="T26" i="6"/>
  <c r="I110" i="5"/>
  <c r="I17" i="5"/>
  <c r="R69" i="6"/>
  <c r="R39" i="8" s="1"/>
  <c r="R40" i="8" s="1"/>
  <c r="L69" i="6"/>
  <c r="L39" i="8" s="1"/>
  <c r="L67" i="6"/>
  <c r="L11" i="8" s="1"/>
  <c r="P67" i="6"/>
  <c r="P11" i="8" s="1"/>
  <c r="P12" i="8" s="1"/>
  <c r="O67" i="6"/>
  <c r="O11" i="8" s="1"/>
  <c r="O12" i="8" s="1"/>
  <c r="S69" i="6"/>
  <c r="S39" i="8" s="1"/>
  <c r="S40" i="8" s="1"/>
  <c r="Q67" i="6"/>
  <c r="Q11" i="8" s="1"/>
  <c r="Q12" i="8" s="1"/>
  <c r="Q69" i="6"/>
  <c r="Q39" i="8" s="1"/>
  <c r="Q40" i="8" s="1"/>
  <c r="P69" i="6"/>
  <c r="P39" i="8" s="1"/>
  <c r="P40" i="8" s="1"/>
  <c r="S67" i="6"/>
  <c r="S11" i="8" s="1"/>
  <c r="S12" i="8" s="1"/>
  <c r="R67" i="6"/>
  <c r="R11" i="8" s="1"/>
  <c r="R12" i="8" s="1"/>
  <c r="N67" i="6"/>
  <c r="N11" i="8" s="1"/>
  <c r="N12" i="8" s="1"/>
  <c r="S68" i="6"/>
  <c r="S25" i="8" s="1"/>
  <c r="S26" i="8" s="1"/>
  <c r="R68" i="6"/>
  <c r="R25" i="8" s="1"/>
  <c r="R26" i="8" s="1"/>
  <c r="N68" i="6"/>
  <c r="N25" i="8" s="1"/>
  <c r="N26" i="8" s="1"/>
  <c r="M68" i="6"/>
  <c r="M25" i="8" s="1"/>
  <c r="M26" i="8" s="1"/>
  <c r="Q68" i="6"/>
  <c r="Q25" i="8" s="1"/>
  <c r="Q26" i="8" s="1"/>
  <c r="P68" i="6"/>
  <c r="P25" i="8" s="1"/>
  <c r="P26" i="8" s="1"/>
  <c r="O68" i="6"/>
  <c r="O25" i="8" s="1"/>
  <c r="O26" i="8" s="1"/>
  <c r="N69" i="6"/>
  <c r="N39" i="8" s="1"/>
  <c r="N40" i="8" s="1"/>
  <c r="M67" i="6"/>
  <c r="M11" i="8" s="1"/>
  <c r="M12" i="8" s="1"/>
  <c r="O69" i="6"/>
  <c r="O39" i="8" s="1"/>
  <c r="O40" i="8" s="1"/>
  <c r="M69" i="6"/>
  <c r="M39" i="8" s="1"/>
  <c r="M40" i="8" s="1"/>
  <c r="L68" i="6"/>
  <c r="L25" i="8" s="1"/>
  <c r="G55" i="8"/>
  <c r="G56" i="8"/>
  <c r="G46" i="11" s="1"/>
  <c r="H29" i="8"/>
  <c r="G29" i="8"/>
  <c r="K54" i="8"/>
  <c r="G67" i="8"/>
  <c r="G59" i="8"/>
  <c r="H61" i="8"/>
  <c r="H11" i="11" s="1"/>
  <c r="G87" i="10"/>
  <c r="F57" i="10"/>
  <c r="F65" i="10" s="1"/>
  <c r="K87" i="10"/>
  <c r="J57" i="10"/>
  <c r="J65" i="10" s="1"/>
  <c r="J66" i="10" s="1"/>
  <c r="J17" i="5"/>
  <c r="J110" i="5"/>
  <c r="F10" i="11"/>
  <c r="C41" i="19"/>
  <c r="C44" i="19" s="1"/>
  <c r="E44" i="19" s="1"/>
  <c r="C13" i="15"/>
  <c r="C15" i="15"/>
  <c r="C17" i="15"/>
  <c r="E10" i="14"/>
  <c r="D11" i="19"/>
  <c r="C14" i="15"/>
  <c r="E52" i="14"/>
  <c r="C16" i="15"/>
  <c r="J60" i="8"/>
  <c r="I57" i="10" l="1"/>
  <c r="I65" i="10" s="1"/>
  <c r="I66" i="10" s="1"/>
  <c r="J87" i="10"/>
  <c r="J44" i="11"/>
  <c r="H74" i="10"/>
  <c r="J55" i="8"/>
  <c r="N52" i="10"/>
  <c r="O141" i="8"/>
  <c r="P53" i="8"/>
  <c r="P115" i="8" s="1"/>
  <c r="H34" i="14"/>
  <c r="F66" i="10"/>
  <c r="I56" i="8"/>
  <c r="I46" i="11" s="1"/>
  <c r="O53" i="8"/>
  <c r="O115" i="8" s="1"/>
  <c r="N53" i="8"/>
  <c r="N115" i="8" s="1"/>
  <c r="M28" i="8"/>
  <c r="M29" i="8" s="1"/>
  <c r="L29" i="8"/>
  <c r="K21" i="5"/>
  <c r="K24" i="5" s="1"/>
  <c r="K33" i="5"/>
  <c r="K114" i="5"/>
  <c r="G34" i="14"/>
  <c r="G74" i="10"/>
  <c r="G123" i="8"/>
  <c r="G44" i="11" s="1"/>
  <c r="G33" i="5"/>
  <c r="G114" i="5"/>
  <c r="G21" i="5"/>
  <c r="G24" i="5" s="1"/>
  <c r="Q53" i="8"/>
  <c r="Q115" i="8" s="1"/>
  <c r="H6" i="23"/>
  <c r="H5" i="24"/>
  <c r="J23" i="14"/>
  <c r="J24" i="14" s="1"/>
  <c r="J32" i="11"/>
  <c r="J79" i="11"/>
  <c r="J42" i="11"/>
  <c r="J69" i="8"/>
  <c r="J9" i="10"/>
  <c r="J45" i="11"/>
  <c r="H9" i="11"/>
  <c r="H63" i="8"/>
  <c r="H13" i="11" s="1"/>
  <c r="G6" i="23"/>
  <c r="G5" i="24"/>
  <c r="I32" i="11"/>
  <c r="I23" i="14"/>
  <c r="I79" i="11"/>
  <c r="I42" i="11"/>
  <c r="I69" i="8"/>
  <c r="I9" i="10"/>
  <c r="I10" i="10" s="1"/>
  <c r="I69" i="11"/>
  <c r="G17" i="24" s="1"/>
  <c r="I45" i="11"/>
  <c r="M42" i="8"/>
  <c r="M43" i="8" s="1"/>
  <c r="L43" i="8"/>
  <c r="I6" i="24"/>
  <c r="I7" i="23"/>
  <c r="K9" i="11"/>
  <c r="K63" i="8"/>
  <c r="I114" i="5"/>
  <c r="I21" i="5"/>
  <c r="I24" i="5" s="1"/>
  <c r="I33" i="5"/>
  <c r="H55" i="8"/>
  <c r="H56" i="8"/>
  <c r="H46" i="11" s="1"/>
  <c r="E34" i="5"/>
  <c r="E116" i="5"/>
  <c r="E129" i="5"/>
  <c r="T31" i="6"/>
  <c r="G9" i="11"/>
  <c r="G63" i="8"/>
  <c r="G13" i="11" s="1"/>
  <c r="M59" i="10"/>
  <c r="N142" i="8"/>
  <c r="I62" i="8"/>
  <c r="I12" i="11" s="1"/>
  <c r="F87" i="10"/>
  <c r="E57" i="10"/>
  <c r="E65" i="10" s="1"/>
  <c r="E66" i="10" s="1"/>
  <c r="E105" i="14"/>
  <c r="E106" i="14" s="1"/>
  <c r="C25" i="24"/>
  <c r="C32" i="13"/>
  <c r="C34" i="13" s="1"/>
  <c r="R53" i="8"/>
  <c r="R115" i="8" s="1"/>
  <c r="M14" i="8"/>
  <c r="M15" i="8" s="1"/>
  <c r="H68" i="11"/>
  <c r="K68" i="11"/>
  <c r="Q68" i="11"/>
  <c r="N68" i="11"/>
  <c r="E22" i="16"/>
  <c r="I68" i="11"/>
  <c r="G68" i="11"/>
  <c r="L68" i="11"/>
  <c r="J68" i="11"/>
  <c r="J69" i="11" s="1"/>
  <c r="H17" i="24" s="1"/>
  <c r="F68" i="11"/>
  <c r="F69" i="11" s="1"/>
  <c r="M68" i="11"/>
  <c r="R68" i="11"/>
  <c r="S68" i="11"/>
  <c r="E68" i="11"/>
  <c r="P68" i="11"/>
  <c r="O68" i="11"/>
  <c r="S53" i="8"/>
  <c r="S115" i="8" s="1"/>
  <c r="L15" i="8"/>
  <c r="F33" i="5"/>
  <c r="F21" i="5"/>
  <c r="F24" i="5" s="1"/>
  <c r="F114" i="5"/>
  <c r="H44" i="11"/>
  <c r="K34" i="14"/>
  <c r="K74" i="10"/>
  <c r="K123" i="8"/>
  <c r="K44" i="11" s="1"/>
  <c r="E78" i="8"/>
  <c r="E13" i="10"/>
  <c r="E14" i="10" s="1"/>
  <c r="E70" i="8"/>
  <c r="E22" i="11" s="1"/>
  <c r="C38" i="24"/>
  <c r="F62" i="8"/>
  <c r="F12" i="11" s="1"/>
  <c r="H23" i="14"/>
  <c r="H24" i="14" s="1"/>
  <c r="H32" i="11"/>
  <c r="H9" i="10"/>
  <c r="H69" i="8"/>
  <c r="H79" i="11"/>
  <c r="H42" i="11"/>
  <c r="H45" i="11"/>
  <c r="H6" i="24"/>
  <c r="H7" i="23"/>
  <c r="J63" i="8"/>
  <c r="J13" i="11" s="1"/>
  <c r="J9" i="11"/>
  <c r="L12" i="8"/>
  <c r="L10" i="8"/>
  <c r="L38" i="8"/>
  <c r="M38" i="8" s="1"/>
  <c r="N38" i="8" s="1"/>
  <c r="O38" i="8" s="1"/>
  <c r="P38" i="8" s="1"/>
  <c r="Q38" i="8" s="1"/>
  <c r="R38" i="8" s="1"/>
  <c r="S38" i="8" s="1"/>
  <c r="L40" i="8"/>
  <c r="L41" i="8" s="1"/>
  <c r="H33" i="5"/>
  <c r="H114" i="5"/>
  <c r="H21" i="5"/>
  <c r="H24" i="5" s="1"/>
  <c r="J10" i="11"/>
  <c r="J62" i="8"/>
  <c r="J12" i="11" s="1"/>
  <c r="I6" i="23"/>
  <c r="I5" i="24"/>
  <c r="F8" i="19"/>
  <c r="K32" i="11"/>
  <c r="K69" i="8"/>
  <c r="K79" i="11"/>
  <c r="K23" i="14"/>
  <c r="K9" i="10"/>
  <c r="K42" i="11"/>
  <c r="G69" i="11"/>
  <c r="G23" i="14"/>
  <c r="G24" i="14" s="1"/>
  <c r="G32" i="11"/>
  <c r="G9" i="10"/>
  <c r="G10" i="10" s="1"/>
  <c r="G79" i="11"/>
  <c r="G69" i="8"/>
  <c r="G45" i="11"/>
  <c r="G42" i="11"/>
  <c r="J114" i="5"/>
  <c r="J21" i="5"/>
  <c r="J24" i="5" s="1"/>
  <c r="J33" i="5"/>
  <c r="K62" i="8"/>
  <c r="E122" i="5"/>
  <c r="E35" i="6" s="1"/>
  <c r="E26" i="5"/>
  <c r="K55" i="8"/>
  <c r="K56" i="8"/>
  <c r="K46" i="11" s="1"/>
  <c r="L26" i="8"/>
  <c r="L27" i="8" s="1"/>
  <c r="L24" i="8"/>
  <c r="M24" i="8" s="1"/>
  <c r="N24" i="8" s="1"/>
  <c r="O24" i="8" s="1"/>
  <c r="P24" i="8" s="1"/>
  <c r="Q24" i="8" s="1"/>
  <c r="R24" i="8" s="1"/>
  <c r="S24" i="8" s="1"/>
  <c r="D9" i="25"/>
  <c r="E9" i="25" s="1"/>
  <c r="G6" i="24"/>
  <c r="G7" i="23"/>
  <c r="I63" i="8"/>
  <c r="I13" i="11" s="1"/>
  <c r="I9" i="11"/>
  <c r="F63" i="8"/>
  <c r="F13" i="11" s="1"/>
  <c r="F9" i="11"/>
  <c r="F79" i="11"/>
  <c r="F23" i="14"/>
  <c r="F24" i="14" s="1"/>
  <c r="F32" i="11"/>
  <c r="F9" i="10"/>
  <c r="F10" i="10" s="1"/>
  <c r="F69" i="8"/>
  <c r="F42" i="11"/>
  <c r="D18" i="23"/>
  <c r="C26" i="24"/>
  <c r="D15" i="25"/>
  <c r="E15" i="25" s="1"/>
  <c r="T30" i="6"/>
  <c r="M48" i="10"/>
  <c r="N118" i="8"/>
  <c r="F34" i="14"/>
  <c r="F74" i="10"/>
  <c r="F123" i="8"/>
  <c r="F44" i="11" s="1"/>
  <c r="G10" i="11"/>
  <c r="G62" i="8"/>
  <c r="G12" i="11" s="1"/>
  <c r="M53" i="8"/>
  <c r="M115" i="8" s="1"/>
  <c r="P141" i="8" l="1"/>
  <c r="O52" i="10"/>
  <c r="K10" i="10"/>
  <c r="F122" i="5"/>
  <c r="F35" i="6" s="1"/>
  <c r="F26" i="5"/>
  <c r="E126" i="5"/>
  <c r="E118" i="5"/>
  <c r="M27" i="8"/>
  <c r="L30" i="8"/>
  <c r="I116" i="5"/>
  <c r="I34" i="5"/>
  <c r="I129" i="5"/>
  <c r="K24" i="14"/>
  <c r="I122" i="5"/>
  <c r="I35" i="6" s="1"/>
  <c r="I26" i="5"/>
  <c r="K70" i="8"/>
  <c r="K22" i="11" s="1"/>
  <c r="K13" i="10"/>
  <c r="K14" i="10" s="1"/>
  <c r="K78" i="8"/>
  <c r="K70" i="11" s="1"/>
  <c r="E24" i="21"/>
  <c r="I24" i="21" s="1"/>
  <c r="K13" i="11"/>
  <c r="J116" i="5"/>
  <c r="J34" i="5"/>
  <c r="J129" i="5"/>
  <c r="G78" i="8"/>
  <c r="G70" i="8"/>
  <c r="G22" i="11" s="1"/>
  <c r="G13" i="10"/>
  <c r="G14" i="10" s="1"/>
  <c r="H10" i="10"/>
  <c r="G122" i="5"/>
  <c r="G35" i="6" s="1"/>
  <c r="G26" i="5"/>
  <c r="J122" i="5"/>
  <c r="J35" i="6" s="1"/>
  <c r="J26" i="5"/>
  <c r="J10" i="10"/>
  <c r="K122" i="5"/>
  <c r="K35" i="6" s="1"/>
  <c r="K26" i="5"/>
  <c r="F34" i="5"/>
  <c r="F116" i="5"/>
  <c r="F129" i="5"/>
  <c r="I78" i="8"/>
  <c r="I70" i="8"/>
  <c r="I22" i="11" s="1"/>
  <c r="I13" i="10"/>
  <c r="I14" i="10" s="1"/>
  <c r="M41" i="8"/>
  <c r="L44" i="8"/>
  <c r="I24" i="14"/>
  <c r="L53" i="8"/>
  <c r="L115" i="8" s="1"/>
  <c r="L13" i="8"/>
  <c r="E70" i="11"/>
  <c r="E69" i="11"/>
  <c r="E134" i="5"/>
  <c r="E40" i="6" s="1"/>
  <c r="E28" i="5"/>
  <c r="E130" i="5" s="1"/>
  <c r="E131" i="5" s="1"/>
  <c r="E36" i="6" s="1"/>
  <c r="E80" i="11"/>
  <c r="E91" i="8"/>
  <c r="E51" i="11"/>
  <c r="E18" i="10"/>
  <c r="E19" i="10" s="1"/>
  <c r="E82" i="8"/>
  <c r="E79" i="8"/>
  <c r="E23" i="11" s="1"/>
  <c r="K129" i="5"/>
  <c r="K116" i="5"/>
  <c r="K34" i="5"/>
  <c r="H69" i="11"/>
  <c r="G70" i="11"/>
  <c r="N59" i="10"/>
  <c r="O142" i="8"/>
  <c r="J13" i="10"/>
  <c r="J14" i="10" s="1"/>
  <c r="J70" i="8"/>
  <c r="J22" i="11" s="1"/>
  <c r="J78" i="8"/>
  <c r="J70" i="11" s="1"/>
  <c r="I70" i="11"/>
  <c r="H122" i="5"/>
  <c r="H35" i="6" s="1"/>
  <c r="H26" i="5"/>
  <c r="N48" i="10"/>
  <c r="O118" i="8"/>
  <c r="H116" i="5"/>
  <c r="H34" i="5"/>
  <c r="H129" i="5"/>
  <c r="N14" i="8"/>
  <c r="M10" i="8"/>
  <c r="L52" i="8"/>
  <c r="J12" i="15"/>
  <c r="E12" i="15"/>
  <c r="D12" i="15"/>
  <c r="J22" i="15"/>
  <c r="N47" i="14"/>
  <c r="D22" i="15"/>
  <c r="F12" i="15"/>
  <c r="R47" i="14"/>
  <c r="Q47" i="14"/>
  <c r="G34" i="11"/>
  <c r="D17" i="23"/>
  <c r="E53" i="14"/>
  <c r="C24" i="24"/>
  <c r="I12" i="15"/>
  <c r="M34" i="11"/>
  <c r="J34" i="11"/>
  <c r="D10" i="19"/>
  <c r="E22" i="15"/>
  <c r="G22" i="15"/>
  <c r="G12" i="15"/>
  <c r="P47" i="14"/>
  <c r="O47" i="14"/>
  <c r="H22" i="15"/>
  <c r="H12" i="15"/>
  <c r="E9" i="14"/>
  <c r="I22" i="15"/>
  <c r="R34" i="11"/>
  <c r="I34" i="11"/>
  <c r="H34" i="11"/>
  <c r="F22" i="15"/>
  <c r="L47" i="14"/>
  <c r="S34" i="11"/>
  <c r="K34" i="11"/>
  <c r="S47" i="14"/>
  <c r="E63" i="14" s="1"/>
  <c r="C89" i="19"/>
  <c r="D91" i="19" s="1"/>
  <c r="E91" i="19" s="1"/>
  <c r="Q34" i="11"/>
  <c r="P34" i="11"/>
  <c r="O34" i="11"/>
  <c r="M47" i="14"/>
  <c r="L34" i="11"/>
  <c r="N34" i="11"/>
  <c r="F34" i="11"/>
  <c r="G34" i="5"/>
  <c r="G129" i="5"/>
  <c r="G116" i="5"/>
  <c r="F78" i="8"/>
  <c r="F70" i="11" s="1"/>
  <c r="F13" i="10"/>
  <c r="F14" i="10" s="1"/>
  <c r="F70" i="8"/>
  <c r="F22" i="11" s="1"/>
  <c r="E25" i="21"/>
  <c r="I25" i="21" s="1"/>
  <c r="K12" i="11"/>
  <c r="K69" i="11"/>
  <c r="I17" i="24" s="1"/>
  <c r="H70" i="8"/>
  <c r="H22" i="11" s="1"/>
  <c r="H78" i="8"/>
  <c r="H70" i="11" s="1"/>
  <c r="H13" i="10"/>
  <c r="H14" i="10" s="1"/>
  <c r="N42" i="8"/>
  <c r="N43" i="8" s="1"/>
  <c r="N28" i="8"/>
  <c r="Q141" i="8" l="1"/>
  <c r="P52" i="10"/>
  <c r="I18" i="24"/>
  <c r="I19" i="23"/>
  <c r="H8" i="23"/>
  <c r="J51" i="11"/>
  <c r="H7" i="24"/>
  <c r="J79" i="8"/>
  <c r="J91" i="8"/>
  <c r="K14" i="11"/>
  <c r="J18" i="10"/>
  <c r="J19" i="10" s="1"/>
  <c r="J82" i="8"/>
  <c r="J80" i="11"/>
  <c r="F118" i="5"/>
  <c r="F126" i="5"/>
  <c r="T35" i="6"/>
  <c r="N10" i="8"/>
  <c r="M52" i="8"/>
  <c r="M54" i="8" s="1"/>
  <c r="J134" i="5"/>
  <c r="J40" i="6" s="1"/>
  <c r="J28" i="5"/>
  <c r="J130" i="5" s="1"/>
  <c r="J131" i="5" s="1"/>
  <c r="J36" i="6" s="1"/>
  <c r="H118" i="5"/>
  <c r="H126" i="5"/>
  <c r="J118" i="5"/>
  <c r="J126" i="5"/>
  <c r="O48" i="10"/>
  <c r="P118" i="8"/>
  <c r="E24" i="10"/>
  <c r="E25" i="10" s="1"/>
  <c r="E92" i="8"/>
  <c r="E96" i="8"/>
  <c r="O28" i="8"/>
  <c r="O29" i="8" s="1"/>
  <c r="N41" i="8"/>
  <c r="M44" i="8"/>
  <c r="E85" i="8"/>
  <c r="E25" i="14"/>
  <c r="E26" i="14" s="1"/>
  <c r="E138" i="8"/>
  <c r="E50" i="11" s="1"/>
  <c r="E38" i="10"/>
  <c r="E83" i="8"/>
  <c r="E24" i="11" s="1"/>
  <c r="I134" i="5"/>
  <c r="I40" i="6" s="1"/>
  <c r="I28" i="5"/>
  <c r="I130" i="5" s="1"/>
  <c r="I131" i="5" s="1"/>
  <c r="I36" i="6" s="1"/>
  <c r="M13" i="8"/>
  <c r="L61" i="8"/>
  <c r="L11" i="11" s="1"/>
  <c r="L16" i="8"/>
  <c r="L45" i="8"/>
  <c r="L48" i="8"/>
  <c r="L49" i="8" s="1"/>
  <c r="L47" i="8" s="1"/>
  <c r="G118" i="5"/>
  <c r="G126" i="5"/>
  <c r="H134" i="5"/>
  <c r="H40" i="6" s="1"/>
  <c r="H28" i="5"/>
  <c r="H130" i="5" s="1"/>
  <c r="H131" i="5" s="1"/>
  <c r="H36" i="6" s="1"/>
  <c r="F14" i="11"/>
  <c r="F134" i="5"/>
  <c r="F40" i="6" s="1"/>
  <c r="F28" i="5"/>
  <c r="F130" i="5" s="1"/>
  <c r="F131" i="5" s="1"/>
  <c r="F36" i="6" s="1"/>
  <c r="H19" i="23"/>
  <c r="H18" i="24"/>
  <c r="I8" i="23"/>
  <c r="I7" i="24"/>
  <c r="K80" i="11"/>
  <c r="K79" i="8"/>
  <c r="K51" i="11"/>
  <c r="K91" i="8"/>
  <c r="K82" i="8"/>
  <c r="K18" i="10"/>
  <c r="K19" i="10" s="1"/>
  <c r="O14" i="8"/>
  <c r="F51" i="11"/>
  <c r="G14" i="11"/>
  <c r="F80" i="11"/>
  <c r="F18" i="10"/>
  <c r="F19" i="10" s="1"/>
  <c r="F79" i="8"/>
  <c r="F23" i="11" s="1"/>
  <c r="F91" i="8"/>
  <c r="F82" i="8"/>
  <c r="M30" i="8"/>
  <c r="N27" i="8"/>
  <c r="G8" i="23"/>
  <c r="J14" i="11"/>
  <c r="G7" i="24"/>
  <c r="I79" i="8"/>
  <c r="I80" i="11"/>
  <c r="I91" i="8"/>
  <c r="I18" i="10"/>
  <c r="I19" i="10" s="1"/>
  <c r="I82" i="8"/>
  <c r="I51" i="11"/>
  <c r="G134" i="5"/>
  <c r="G40" i="6" s="1"/>
  <c r="G28" i="5"/>
  <c r="G130" i="5" s="1"/>
  <c r="G131" i="5" s="1"/>
  <c r="G36" i="6" s="1"/>
  <c r="O59" i="10"/>
  <c r="P142" i="8"/>
  <c r="K134" i="5"/>
  <c r="K28" i="5"/>
  <c r="K130" i="5" s="1"/>
  <c r="K131" i="5" s="1"/>
  <c r="K36" i="6" s="1"/>
  <c r="L54" i="8"/>
  <c r="N15" i="8"/>
  <c r="K126" i="5"/>
  <c r="K118" i="5"/>
  <c r="I118" i="5"/>
  <c r="I126" i="5"/>
  <c r="E64" i="14"/>
  <c r="E98" i="14"/>
  <c r="D14" i="25" s="1"/>
  <c r="E14" i="25" s="1"/>
  <c r="E97" i="14"/>
  <c r="D17" i="25" s="1"/>
  <c r="E17" i="25" s="1"/>
  <c r="G80" i="11"/>
  <c r="G18" i="10"/>
  <c r="G19" i="10" s="1"/>
  <c r="G91" i="8"/>
  <c r="H14" i="11"/>
  <c r="G79" i="8"/>
  <c r="G23" i="11" s="1"/>
  <c r="G82" i="8"/>
  <c r="G51" i="11"/>
  <c r="L31" i="8"/>
  <c r="L34" i="8"/>
  <c r="L35" i="8" s="1"/>
  <c r="L33" i="8" s="1"/>
  <c r="N29" i="8"/>
  <c r="O42" i="8"/>
  <c r="O43" i="8" s="1"/>
  <c r="H80" i="11"/>
  <c r="H91" i="8"/>
  <c r="H79" i="8"/>
  <c r="H23" i="11" s="1"/>
  <c r="H18" i="10"/>
  <c r="H19" i="10" s="1"/>
  <c r="I14" i="11"/>
  <c r="H82" i="8"/>
  <c r="H51" i="11"/>
  <c r="G19" i="23"/>
  <c r="G18" i="24"/>
  <c r="T36" i="6" l="1"/>
  <c r="D10" i="25"/>
  <c r="E10" i="25" s="1"/>
  <c r="Q52" i="10"/>
  <c r="R141" i="8"/>
  <c r="H25" i="14"/>
  <c r="H38" i="10"/>
  <c r="H70" i="10" s="1"/>
  <c r="H138" i="8"/>
  <c r="H50" i="11" s="1"/>
  <c r="H85" i="8"/>
  <c r="H83" i="8"/>
  <c r="H24" i="11" s="1"/>
  <c r="M45" i="8"/>
  <c r="G127" i="5"/>
  <c r="G132" i="5"/>
  <c r="F127" i="5"/>
  <c r="F132" i="5"/>
  <c r="I96" i="8"/>
  <c r="I92" i="8"/>
  <c r="I24" i="10"/>
  <c r="I25" i="10" s="1"/>
  <c r="E98" i="8"/>
  <c r="E27" i="11"/>
  <c r="E29" i="10"/>
  <c r="O27" i="8"/>
  <c r="N30" i="8"/>
  <c r="J132" i="5"/>
  <c r="J127" i="5"/>
  <c r="L32" i="8"/>
  <c r="M31" i="8"/>
  <c r="G85" i="8"/>
  <c r="G25" i="14"/>
  <c r="G83" i="8"/>
  <c r="G24" i="11" s="1"/>
  <c r="G138" i="8"/>
  <c r="G50" i="11" s="1"/>
  <c r="G38" i="10"/>
  <c r="G70" i="10" s="1"/>
  <c r="K40" i="6"/>
  <c r="T40" i="6" s="1"/>
  <c r="G24" i="10"/>
  <c r="G25" i="10" s="1"/>
  <c r="G92" i="8"/>
  <c r="G96" i="8"/>
  <c r="E28" i="14"/>
  <c r="E39" i="10"/>
  <c r="E40" i="10" s="1"/>
  <c r="E81" i="11"/>
  <c r="E84" i="11" s="1"/>
  <c r="E86" i="8"/>
  <c r="E25" i="11" s="1"/>
  <c r="E121" i="8"/>
  <c r="E31" i="11" s="1"/>
  <c r="E52" i="11"/>
  <c r="E71" i="11"/>
  <c r="O10" i="8"/>
  <c r="N52" i="8"/>
  <c r="P14" i="8"/>
  <c r="I25" i="14"/>
  <c r="I83" i="8"/>
  <c r="I24" i="11" s="1"/>
  <c r="I38" i="10"/>
  <c r="I70" i="10" s="1"/>
  <c r="I85" i="8"/>
  <c r="I138" i="8"/>
  <c r="L46" i="8"/>
  <c r="I127" i="5"/>
  <c r="I132" i="5"/>
  <c r="M48" i="8"/>
  <c r="M49" i="8" s="1"/>
  <c r="G9" i="23"/>
  <c r="G8" i="24"/>
  <c r="I23" i="11"/>
  <c r="P42" i="8"/>
  <c r="K132" i="5"/>
  <c r="K127" i="5"/>
  <c r="I9" i="23"/>
  <c r="K23" i="11"/>
  <c r="I8" i="24"/>
  <c r="P48" i="10"/>
  <c r="Q118" i="8"/>
  <c r="M34" i="8"/>
  <c r="M35" i="8" s="1"/>
  <c r="F24" i="10"/>
  <c r="F25" i="10" s="1"/>
  <c r="F92" i="8"/>
  <c r="F96" i="8"/>
  <c r="N44" i="8"/>
  <c r="O41" i="8"/>
  <c r="O15" i="8"/>
  <c r="P28" i="8"/>
  <c r="H92" i="8"/>
  <c r="H24" i="10"/>
  <c r="H25" i="10" s="1"/>
  <c r="H96" i="8"/>
  <c r="K25" i="14"/>
  <c r="K138" i="8"/>
  <c r="K38" i="10"/>
  <c r="K70" i="10" s="1"/>
  <c r="K83" i="8"/>
  <c r="K24" i="11" s="1"/>
  <c r="K85" i="8"/>
  <c r="K92" i="8"/>
  <c r="K96" i="8"/>
  <c r="K24" i="10"/>
  <c r="K25" i="10" s="1"/>
  <c r="J25" i="14"/>
  <c r="J38" i="10"/>
  <c r="J70" i="10" s="1"/>
  <c r="J83" i="8"/>
  <c r="J24" i="11" s="1"/>
  <c r="J85" i="8"/>
  <c r="J138" i="8"/>
  <c r="L17" i="8"/>
  <c r="L60" i="8" s="1"/>
  <c r="L20" i="8"/>
  <c r="L18" i="8" s="1"/>
  <c r="N13" i="8"/>
  <c r="M16" i="8"/>
  <c r="J92" i="8"/>
  <c r="J96" i="8"/>
  <c r="J24" i="10"/>
  <c r="J25" i="10" s="1"/>
  <c r="L55" i="8"/>
  <c r="H9" i="23"/>
  <c r="H8" i="24"/>
  <c r="J23" i="11"/>
  <c r="M55" i="8"/>
  <c r="M74" i="6" s="1"/>
  <c r="F85" i="8"/>
  <c r="F15" i="11" s="1"/>
  <c r="F25" i="14"/>
  <c r="F38" i="10"/>
  <c r="F70" i="10" s="1"/>
  <c r="F138" i="8"/>
  <c r="F50" i="11" s="1"/>
  <c r="F83" i="8"/>
  <c r="F24" i="11" s="1"/>
  <c r="H127" i="5"/>
  <c r="H132" i="5"/>
  <c r="P59" i="10"/>
  <c r="Q142" i="8"/>
  <c r="S141" i="8" l="1"/>
  <c r="S52" i="10" s="1"/>
  <c r="R52" i="10"/>
  <c r="M32" i="8"/>
  <c r="N48" i="8"/>
  <c r="N49" i="8" s="1"/>
  <c r="M46" i="8"/>
  <c r="N34" i="8"/>
  <c r="N35" i="8" s="1"/>
  <c r="K26" i="14"/>
  <c r="L10" i="11"/>
  <c r="L62" i="8"/>
  <c r="Q42" i="8"/>
  <c r="Q43" i="8"/>
  <c r="E32" i="10"/>
  <c r="E100" i="8"/>
  <c r="N16" i="8"/>
  <c r="N20" i="8" s="1"/>
  <c r="O13" i="8"/>
  <c r="L21" i="8"/>
  <c r="L19" i="8" s="1"/>
  <c r="L58" i="8"/>
  <c r="M61" i="8" s="1"/>
  <c r="M11" i="11" s="1"/>
  <c r="Q14" i="8"/>
  <c r="I27" i="11"/>
  <c r="I98" i="8"/>
  <c r="I29" i="10"/>
  <c r="H98" i="8"/>
  <c r="H27" i="11"/>
  <c r="H29" i="10"/>
  <c r="P15" i="8"/>
  <c r="M20" i="8"/>
  <c r="M18" i="8" s="1"/>
  <c r="G26" i="14"/>
  <c r="H17" i="23"/>
  <c r="H16" i="24"/>
  <c r="J50" i="11"/>
  <c r="H10" i="23"/>
  <c r="J28" i="14"/>
  <c r="H9" i="24"/>
  <c r="J86" i="8"/>
  <c r="J39" i="10"/>
  <c r="J40" i="10" s="1"/>
  <c r="J121" i="8"/>
  <c r="J81" i="11"/>
  <c r="J84" i="11" s="1"/>
  <c r="K15" i="11"/>
  <c r="J52" i="11"/>
  <c r="J71" i="11"/>
  <c r="H19" i="24" s="1"/>
  <c r="M47" i="8"/>
  <c r="J26" i="14"/>
  <c r="H28" i="14"/>
  <c r="H81" i="11"/>
  <c r="H84" i="11" s="1"/>
  <c r="I15" i="11"/>
  <c r="H86" i="8"/>
  <c r="H25" i="11" s="1"/>
  <c r="H121" i="8"/>
  <c r="H39" i="10"/>
  <c r="H40" i="10" s="1"/>
  <c r="H52" i="11"/>
  <c r="H71" i="11"/>
  <c r="K27" i="11"/>
  <c r="K29" i="10"/>
  <c r="K98" i="8"/>
  <c r="N31" i="8"/>
  <c r="Q59" i="10"/>
  <c r="R142" i="8"/>
  <c r="G17" i="23"/>
  <c r="I50" i="11"/>
  <c r="G16" i="24"/>
  <c r="G27" i="11"/>
  <c r="G98" i="8"/>
  <c r="G29" i="10"/>
  <c r="P27" i="8"/>
  <c r="O30" i="8"/>
  <c r="J27" i="11"/>
  <c r="J29" i="10"/>
  <c r="J98" i="8"/>
  <c r="I10" i="23"/>
  <c r="I9" i="24"/>
  <c r="K28" i="14"/>
  <c r="K81" i="11"/>
  <c r="K84" i="11" s="1"/>
  <c r="K86" i="8"/>
  <c r="K39" i="10"/>
  <c r="K40" i="10" s="1"/>
  <c r="K121" i="8"/>
  <c r="K52" i="11"/>
  <c r="K71" i="11"/>
  <c r="I19" i="24" s="1"/>
  <c r="M33" i="8"/>
  <c r="G10" i="23"/>
  <c r="G9" i="24"/>
  <c r="I28" i="14"/>
  <c r="I86" i="8"/>
  <c r="I121" i="8"/>
  <c r="I81" i="11"/>
  <c r="I84" i="11" s="1"/>
  <c r="I39" i="10"/>
  <c r="I40" i="10" s="1"/>
  <c r="J15" i="11"/>
  <c r="I52" i="11"/>
  <c r="I71" i="11"/>
  <c r="G19" i="24" s="1"/>
  <c r="H26" i="14"/>
  <c r="R118" i="8"/>
  <c r="Q48" i="10"/>
  <c r="I75" i="10"/>
  <c r="I76" i="10" s="1"/>
  <c r="I79" i="10" s="1"/>
  <c r="E28" i="21"/>
  <c r="I28" i="21" s="1"/>
  <c r="I17" i="23"/>
  <c r="K50" i="11"/>
  <c r="I16" i="24"/>
  <c r="I26" i="14"/>
  <c r="G75" i="10"/>
  <c r="G76" i="10"/>
  <c r="G79" i="10" s="1"/>
  <c r="F76" i="10"/>
  <c r="F79" i="10" s="1"/>
  <c r="F75" i="10"/>
  <c r="F26" i="14"/>
  <c r="P10" i="8"/>
  <c r="O52" i="8"/>
  <c r="O54" i="8" s="1"/>
  <c r="F28" i="14"/>
  <c r="F86" i="8"/>
  <c r="F25" i="11" s="1"/>
  <c r="F81" i="11"/>
  <c r="F84" i="11" s="1"/>
  <c r="F121" i="8"/>
  <c r="G15" i="11"/>
  <c r="F39" i="10"/>
  <c r="F40" i="10" s="1"/>
  <c r="F52" i="11"/>
  <c r="F71" i="11"/>
  <c r="Q28" i="8"/>
  <c r="P43" i="8"/>
  <c r="H15" i="11"/>
  <c r="G28" i="14"/>
  <c r="G39" i="10"/>
  <c r="G40" i="10" s="1"/>
  <c r="G81" i="11"/>
  <c r="G84" i="11" s="1"/>
  <c r="G86" i="8"/>
  <c r="G25" i="11" s="1"/>
  <c r="G121" i="8"/>
  <c r="G52" i="11"/>
  <c r="G71" i="11"/>
  <c r="P29" i="8"/>
  <c r="O44" i="8"/>
  <c r="O48" i="8" s="1"/>
  <c r="O49" i="8" s="1"/>
  <c r="P41" i="8"/>
  <c r="J75" i="10"/>
  <c r="J76" i="10" s="1"/>
  <c r="J79" i="10" s="1"/>
  <c r="N46" i="8"/>
  <c r="N45" i="8"/>
  <c r="F27" i="11"/>
  <c r="F98" i="8"/>
  <c r="F29" i="10"/>
  <c r="L81" i="8"/>
  <c r="L74" i="6"/>
  <c r="N54" i="8"/>
  <c r="E29" i="14"/>
  <c r="E30" i="14"/>
  <c r="E31" i="14"/>
  <c r="H75" i="10"/>
  <c r="H76" i="10" s="1"/>
  <c r="H79" i="10" s="1"/>
  <c r="M17" i="8"/>
  <c r="K75" i="10"/>
  <c r="K76" i="10" s="1"/>
  <c r="K79" i="10" s="1"/>
  <c r="N47" i="8" l="1"/>
  <c r="N33" i="8"/>
  <c r="M60" i="8"/>
  <c r="N32" i="8"/>
  <c r="K62" i="11"/>
  <c r="K84" i="10"/>
  <c r="K85" i="10" s="1"/>
  <c r="K88" i="10" s="1"/>
  <c r="K89" i="10" s="1"/>
  <c r="H62" i="11"/>
  <c r="H84" i="10"/>
  <c r="H85" i="10" s="1"/>
  <c r="H88" i="10" s="1"/>
  <c r="H89" i="10" s="1"/>
  <c r="O31" i="8"/>
  <c r="R14" i="8"/>
  <c r="H122" i="8"/>
  <c r="H125" i="8"/>
  <c r="H31" i="11"/>
  <c r="J62" i="11"/>
  <c r="J84" i="10"/>
  <c r="J85" i="10" s="1"/>
  <c r="J88" i="10" s="1"/>
  <c r="J89" i="10" s="1"/>
  <c r="L67" i="8"/>
  <c r="L59" i="8"/>
  <c r="L56" i="8"/>
  <c r="L46" i="11" s="1"/>
  <c r="P44" i="8"/>
  <c r="P48" i="8" s="1"/>
  <c r="P49" i="8" s="1"/>
  <c r="Q41" i="8"/>
  <c r="M21" i="8"/>
  <c r="M19" i="8" s="1"/>
  <c r="M58" i="8"/>
  <c r="N61" i="8"/>
  <c r="N11" i="11" s="1"/>
  <c r="R48" i="10"/>
  <c r="S118" i="8"/>
  <c r="S48" i="10" s="1"/>
  <c r="O55" i="8"/>
  <c r="O74" i="6" s="1"/>
  <c r="Q10" i="8"/>
  <c r="P52" i="8"/>
  <c r="N55" i="8"/>
  <c r="N74" i="6" s="1"/>
  <c r="O34" i="8"/>
  <c r="O35" i="8" s="1"/>
  <c r="G25" i="21"/>
  <c r="J25" i="21" s="1"/>
  <c r="L12" i="11"/>
  <c r="L75" i="8"/>
  <c r="L72" i="8"/>
  <c r="M81" i="8"/>
  <c r="L90" i="8"/>
  <c r="L22" i="10" s="1"/>
  <c r="L95" i="8"/>
  <c r="L28" i="10" s="1"/>
  <c r="L136" i="8"/>
  <c r="J125" i="8"/>
  <c r="J31" i="11"/>
  <c r="J122" i="8"/>
  <c r="G30" i="14"/>
  <c r="G31" i="14" s="1"/>
  <c r="G29" i="14"/>
  <c r="J32" i="10"/>
  <c r="J100" i="8"/>
  <c r="I32" i="10"/>
  <c r="I100" i="8"/>
  <c r="F100" i="8"/>
  <c r="F32" i="10"/>
  <c r="G62" i="11"/>
  <c r="G84" i="10"/>
  <c r="G85" i="10" s="1"/>
  <c r="G88" i="10" s="1"/>
  <c r="G89" i="10" s="1"/>
  <c r="H10" i="24"/>
  <c r="H11" i="23"/>
  <c r="J25" i="11"/>
  <c r="I31" i="11"/>
  <c r="I125" i="8"/>
  <c r="I122" i="8"/>
  <c r="Q15" i="8"/>
  <c r="R28" i="8"/>
  <c r="R29" i="8" s="1"/>
  <c r="P13" i="8"/>
  <c r="O16" i="8"/>
  <c r="O20" i="8" s="1"/>
  <c r="P30" i="8"/>
  <c r="Q27" i="8"/>
  <c r="G100" i="8"/>
  <c r="G32" i="10"/>
  <c r="I62" i="11"/>
  <c r="I84" i="10"/>
  <c r="I85" i="10" s="1"/>
  <c r="I88" i="10" s="1"/>
  <c r="I89" i="10" s="1"/>
  <c r="O46" i="8"/>
  <c r="O45" i="8"/>
  <c r="O47" i="8" s="1"/>
  <c r="K125" i="8"/>
  <c r="K31" i="11"/>
  <c r="K122" i="8"/>
  <c r="N17" i="8"/>
  <c r="N18" i="8"/>
  <c r="R59" i="10"/>
  <c r="S142" i="8"/>
  <c r="S59" i="10" s="1"/>
  <c r="E82" i="11"/>
  <c r="E105" i="8"/>
  <c r="E101" i="8"/>
  <c r="E26" i="11" s="1"/>
  <c r="E34" i="10"/>
  <c r="E35" i="10" s="1"/>
  <c r="F29" i="14"/>
  <c r="F30" i="14"/>
  <c r="F31" i="14"/>
  <c r="R42" i="8"/>
  <c r="K30" i="14"/>
  <c r="K31" i="14" s="1"/>
  <c r="K29" i="14"/>
  <c r="K100" i="8"/>
  <c r="K32" i="10"/>
  <c r="H100" i="8"/>
  <c r="H32" i="10"/>
  <c r="F7" i="19"/>
  <c r="G10" i="24"/>
  <c r="G11" i="23"/>
  <c r="I25" i="11"/>
  <c r="J29" i="14"/>
  <c r="J30" i="14"/>
  <c r="J31" i="14" s="1"/>
  <c r="Q29" i="8"/>
  <c r="I30" i="14"/>
  <c r="I31" i="14"/>
  <c r="I29" i="14"/>
  <c r="M10" i="11"/>
  <c r="M62" i="8"/>
  <c r="M12" i="11" s="1"/>
  <c r="H30" i="14"/>
  <c r="H31" i="14"/>
  <c r="H29" i="14"/>
  <c r="N21" i="8"/>
  <c r="N19" i="8" s="1"/>
  <c r="N58" i="8"/>
  <c r="F122" i="8"/>
  <c r="F31" i="11"/>
  <c r="F125" i="8"/>
  <c r="C30" i="24"/>
  <c r="F6" i="19"/>
  <c r="I10" i="24"/>
  <c r="E26" i="21"/>
  <c r="I26" i="21" s="1"/>
  <c r="I11" i="23"/>
  <c r="K25" i="11"/>
  <c r="G122" i="8"/>
  <c r="G31" i="11"/>
  <c r="G125" i="8"/>
  <c r="F62" i="11"/>
  <c r="F84" i="10"/>
  <c r="F85" i="10" s="1"/>
  <c r="F88" i="10" s="1"/>
  <c r="F89" i="10" s="1"/>
  <c r="P34" i="8" l="1"/>
  <c r="P35" i="8" s="1"/>
  <c r="N60" i="8"/>
  <c r="O32" i="8"/>
  <c r="J35" i="14"/>
  <c r="G35" i="14"/>
  <c r="G38" i="14"/>
  <c r="N62" i="8"/>
  <c r="N12" i="11" s="1"/>
  <c r="N10" i="11"/>
  <c r="K35" i="14"/>
  <c r="K38" i="14"/>
  <c r="O58" i="8"/>
  <c r="O21" i="8"/>
  <c r="S28" i="8"/>
  <c r="S29" i="8"/>
  <c r="H35" i="14"/>
  <c r="H38" i="14"/>
  <c r="I12" i="23"/>
  <c r="I11" i="24"/>
  <c r="K82" i="11"/>
  <c r="K34" i="10"/>
  <c r="K35" i="10" s="1"/>
  <c r="K145" i="8"/>
  <c r="K36" i="11" s="1"/>
  <c r="K101" i="8"/>
  <c r="K26" i="11" s="1"/>
  <c r="K105" i="8"/>
  <c r="P54" i="8"/>
  <c r="G16" i="23"/>
  <c r="G15" i="24"/>
  <c r="I39" i="14"/>
  <c r="I33" i="11"/>
  <c r="I35" i="11" s="1"/>
  <c r="H74" i="11"/>
  <c r="I18" i="11"/>
  <c r="H92" i="10"/>
  <c r="H126" i="8"/>
  <c r="H41" i="11" s="1"/>
  <c r="H127" i="8"/>
  <c r="H40" i="11" s="1"/>
  <c r="I74" i="11"/>
  <c r="G21" i="24" s="1"/>
  <c r="G14" i="24"/>
  <c r="G15" i="23"/>
  <c r="I126" i="8"/>
  <c r="I41" i="11" s="1"/>
  <c r="J18" i="11"/>
  <c r="I92" i="10"/>
  <c r="I127" i="8"/>
  <c r="I40" i="11" s="1"/>
  <c r="H39" i="14"/>
  <c r="H33" i="11"/>
  <c r="H35" i="11" s="1"/>
  <c r="G33" i="11"/>
  <c r="G35" i="11" s="1"/>
  <c r="G39" i="14"/>
  <c r="S42" i="8"/>
  <c r="S43" i="8" s="1"/>
  <c r="M90" i="8"/>
  <c r="M22" i="10" s="1"/>
  <c r="M95" i="8"/>
  <c r="M28" i="10" s="1"/>
  <c r="N81" i="8"/>
  <c r="L74" i="8"/>
  <c r="L16" i="10" s="1"/>
  <c r="M72" i="8"/>
  <c r="E72" i="11"/>
  <c r="F106" i="8"/>
  <c r="F16" i="11" s="1"/>
  <c r="E108" i="8"/>
  <c r="E59" i="11" s="1"/>
  <c r="E83" i="11"/>
  <c r="E41" i="10"/>
  <c r="E57" i="11"/>
  <c r="N67" i="8"/>
  <c r="N59" i="8"/>
  <c r="P16" i="8"/>
  <c r="Q13" i="8"/>
  <c r="H12" i="23"/>
  <c r="H11" i="24"/>
  <c r="J34" i="10"/>
  <c r="J35" i="10" s="1"/>
  <c r="J82" i="11"/>
  <c r="J145" i="8"/>
  <c r="J36" i="11" s="1"/>
  <c r="J105" i="8"/>
  <c r="J101" i="8"/>
  <c r="J26" i="11" s="1"/>
  <c r="N56" i="8"/>
  <c r="N46" i="11" s="1"/>
  <c r="H82" i="11"/>
  <c r="H145" i="8"/>
  <c r="H36" i="11" s="1"/>
  <c r="H34" i="10"/>
  <c r="H35" i="10" s="1"/>
  <c r="H101" i="8"/>
  <c r="H26" i="11" s="1"/>
  <c r="H105" i="8"/>
  <c r="R10" i="8"/>
  <c r="Q52" i="8"/>
  <c r="I16" i="23"/>
  <c r="I15" i="24"/>
  <c r="K39" i="14"/>
  <c r="K33" i="11"/>
  <c r="K35" i="11" s="1"/>
  <c r="E95" i="14"/>
  <c r="H16" i="23"/>
  <c r="H15" i="24"/>
  <c r="J39" i="14"/>
  <c r="J33" i="11"/>
  <c r="J35" i="11" s="1"/>
  <c r="G92" i="10"/>
  <c r="G126" i="8"/>
  <c r="G41" i="11" s="1"/>
  <c r="H18" i="11"/>
  <c r="G74" i="11"/>
  <c r="G127" i="8"/>
  <c r="G40" i="11" s="1"/>
  <c r="I15" i="23"/>
  <c r="I14" i="24"/>
  <c r="K92" i="10"/>
  <c r="K74" i="11"/>
  <c r="I21" i="24" s="1"/>
  <c r="K126" i="8"/>
  <c r="K41" i="11" s="1"/>
  <c r="K127" i="8"/>
  <c r="H14" i="24"/>
  <c r="H15" i="23"/>
  <c r="J92" i="10"/>
  <c r="K18" i="11"/>
  <c r="J74" i="11"/>
  <c r="H21" i="24" s="1"/>
  <c r="J126" i="8"/>
  <c r="J41" i="11" s="1"/>
  <c r="J127" i="8"/>
  <c r="J40" i="11" s="1"/>
  <c r="S14" i="8"/>
  <c r="L56" i="10"/>
  <c r="L140" i="8"/>
  <c r="R15" i="8"/>
  <c r="I35" i="14"/>
  <c r="I38" i="14"/>
  <c r="R43" i="8"/>
  <c r="F35" i="14"/>
  <c r="M136" i="8"/>
  <c r="M56" i="10" s="1"/>
  <c r="M67" i="8"/>
  <c r="M59" i="8"/>
  <c r="M56" i="8"/>
  <c r="M46" i="11" s="1"/>
  <c r="O61" i="8"/>
  <c r="O11" i="11" s="1"/>
  <c r="Q44" i="8"/>
  <c r="Q48" i="8" s="1"/>
  <c r="Q49" i="8" s="1"/>
  <c r="R41" i="8"/>
  <c r="G34" i="10"/>
  <c r="G35" i="10" s="1"/>
  <c r="G101" i="8"/>
  <c r="G26" i="11" s="1"/>
  <c r="G105" i="8"/>
  <c r="G82" i="11"/>
  <c r="G145" i="8"/>
  <c r="G36" i="11" s="1"/>
  <c r="L77" i="8"/>
  <c r="L17" i="10" s="1"/>
  <c r="M75" i="8"/>
  <c r="P46" i="8"/>
  <c r="P45" i="8"/>
  <c r="P47" i="8" s="1"/>
  <c r="F92" i="10"/>
  <c r="F74" i="11"/>
  <c r="F126" i="8"/>
  <c r="F41" i="11" s="1"/>
  <c r="G18" i="11"/>
  <c r="F127" i="8"/>
  <c r="F40" i="11" s="1"/>
  <c r="Q30" i="8"/>
  <c r="R27" i="8"/>
  <c r="F82" i="11"/>
  <c r="F105" i="8"/>
  <c r="F145" i="8"/>
  <c r="F36" i="11" s="1"/>
  <c r="F101" i="8"/>
  <c r="F26" i="11" s="1"/>
  <c r="F34" i="10"/>
  <c r="F35" i="10" s="1"/>
  <c r="Q34" i="8"/>
  <c r="Q35" i="8" s="1"/>
  <c r="P31" i="8"/>
  <c r="P33" i="8" s="1"/>
  <c r="P32" i="8"/>
  <c r="G12" i="23"/>
  <c r="G11" i="24"/>
  <c r="I34" i="10"/>
  <c r="I35" i="10" s="1"/>
  <c r="I145" i="8"/>
  <c r="I36" i="11" s="1"/>
  <c r="I82" i="11"/>
  <c r="I101" i="8"/>
  <c r="I26" i="11" s="1"/>
  <c r="I105" i="8"/>
  <c r="J6" i="24"/>
  <c r="J7" i="23"/>
  <c r="L9" i="11"/>
  <c r="L63" i="8"/>
  <c r="F39" i="14"/>
  <c r="F33" i="11"/>
  <c r="F35" i="11" s="1"/>
  <c r="O18" i="8"/>
  <c r="O17" i="8"/>
  <c r="O60" i="8" s="1"/>
  <c r="O33" i="8"/>
  <c r="J5" i="24"/>
  <c r="J6" i="23"/>
  <c r="L69" i="11"/>
  <c r="L68" i="8"/>
  <c r="L12" i="10" s="1"/>
  <c r="L112" i="8"/>
  <c r="O41" i="15"/>
  <c r="L76" i="8"/>
  <c r="C14" i="20"/>
  <c r="E14" i="20" s="1"/>
  <c r="L73" i="8"/>
  <c r="L114" i="8"/>
  <c r="L116" i="8" s="1"/>
  <c r="L23" i="14"/>
  <c r="L79" i="11"/>
  <c r="L84" i="8"/>
  <c r="L9" i="10"/>
  <c r="L10" i="10" s="1"/>
  <c r="O19" i="8" l="1"/>
  <c r="G83" i="11"/>
  <c r="G72" i="11"/>
  <c r="G57" i="11"/>
  <c r="H106" i="8"/>
  <c r="H16" i="11" s="1"/>
  <c r="G108" i="8"/>
  <c r="G59" i="11" s="1"/>
  <c r="G41" i="10"/>
  <c r="I12" i="24"/>
  <c r="I13" i="23"/>
  <c r="K72" i="11"/>
  <c r="K41" i="10"/>
  <c r="K83" i="11"/>
  <c r="K108" i="8"/>
  <c r="K59" i="11" s="1"/>
  <c r="K57" i="11"/>
  <c r="L24" i="14"/>
  <c r="G24" i="21"/>
  <c r="J24" i="21" s="1"/>
  <c r="L13" i="11"/>
  <c r="F83" i="11"/>
  <c r="F41" i="10"/>
  <c r="F57" i="11"/>
  <c r="G106" i="8"/>
  <c r="G16" i="11" s="1"/>
  <c r="F108" i="8"/>
  <c r="F59" i="11" s="1"/>
  <c r="F72" i="11"/>
  <c r="R44" i="8"/>
  <c r="S41" i="8"/>
  <c r="S44" i="8" s="1"/>
  <c r="I83" i="11"/>
  <c r="G13" i="23"/>
  <c r="G12" i="24"/>
  <c r="I57" i="11"/>
  <c r="J106" i="8"/>
  <c r="J16" i="11" s="1"/>
  <c r="I108" i="8"/>
  <c r="I59" i="11" s="1"/>
  <c r="I72" i="11"/>
  <c r="I41" i="10"/>
  <c r="S22" i="16"/>
  <c r="K7" i="23"/>
  <c r="K6" i="24"/>
  <c r="M9" i="11"/>
  <c r="M63" i="8"/>
  <c r="M13" i="11" s="1"/>
  <c r="K36" i="14"/>
  <c r="J37" i="14"/>
  <c r="K5" i="24"/>
  <c r="F14" i="20"/>
  <c r="H14" i="20" s="1"/>
  <c r="K6" i="23"/>
  <c r="M114" i="8"/>
  <c r="M116" i="8" s="1"/>
  <c r="M79" i="11"/>
  <c r="C29" i="16" s="1"/>
  <c r="M112" i="8"/>
  <c r="P41" i="15"/>
  <c r="M9" i="10"/>
  <c r="M10" i="10" s="1"/>
  <c r="M68" i="8"/>
  <c r="M12" i="10" s="1"/>
  <c r="M69" i="8"/>
  <c r="M73" i="8"/>
  <c r="M74" i="8" s="1"/>
  <c r="M16" i="10" s="1"/>
  <c r="M84" i="8"/>
  <c r="M23" i="14"/>
  <c r="M24" i="14" s="1"/>
  <c r="M69" i="11"/>
  <c r="M76" i="8"/>
  <c r="M77" i="8" s="1"/>
  <c r="M17" i="10" s="1"/>
  <c r="N136" i="8"/>
  <c r="N56" i="10" s="1"/>
  <c r="I36" i="14"/>
  <c r="H37" i="14"/>
  <c r="E27" i="21"/>
  <c r="I27" i="21" s="1"/>
  <c r="K40" i="11"/>
  <c r="G36" i="14"/>
  <c r="F37" i="14"/>
  <c r="J17" i="24"/>
  <c r="F22" i="16"/>
  <c r="F23" i="16" s="1"/>
  <c r="P17" i="8"/>
  <c r="P60" i="8" s="1"/>
  <c r="L7" i="23"/>
  <c r="L6" i="24"/>
  <c r="N9" i="11"/>
  <c r="N63" i="8"/>
  <c r="N13" i="11" s="1"/>
  <c r="N75" i="8"/>
  <c r="L45" i="11"/>
  <c r="L46" i="10"/>
  <c r="L113" i="8"/>
  <c r="F38" i="14"/>
  <c r="Q16" i="8"/>
  <c r="R13" i="8"/>
  <c r="Q54" i="8"/>
  <c r="S10" i="8"/>
  <c r="S52" i="8" s="1"/>
  <c r="R52" i="8"/>
  <c r="J36" i="14"/>
  <c r="I37" i="14"/>
  <c r="L5" i="24"/>
  <c r="N79" i="11"/>
  <c r="I14" i="20"/>
  <c r="K14" i="20" s="1"/>
  <c r="C35" i="20" s="1"/>
  <c r="N114" i="8"/>
  <c r="N116" i="8" s="1"/>
  <c r="N68" i="8"/>
  <c r="N12" i="10" s="1"/>
  <c r="Q41" i="15"/>
  <c r="L6" i="23"/>
  <c r="N112" i="8"/>
  <c r="N9" i="10"/>
  <c r="N23" i="14"/>
  <c r="N69" i="11"/>
  <c r="N76" i="8"/>
  <c r="N84" i="8"/>
  <c r="N73" i="8"/>
  <c r="O59" i="8"/>
  <c r="O67" i="8"/>
  <c r="O56" i="8"/>
  <c r="O46" i="11" s="1"/>
  <c r="M140" i="8"/>
  <c r="L51" i="10"/>
  <c r="L27" i="14"/>
  <c r="L32" i="14" s="1"/>
  <c r="L21" i="10"/>
  <c r="L43" i="11"/>
  <c r="P55" i="8"/>
  <c r="P74" i="6" s="1"/>
  <c r="D32" i="25"/>
  <c r="E32" i="25" s="1"/>
  <c r="K37" i="14"/>
  <c r="S15" i="8"/>
  <c r="P61" i="8"/>
  <c r="P11" i="11" s="1"/>
  <c r="L123" i="8"/>
  <c r="L33" i="14"/>
  <c r="L78" i="10"/>
  <c r="L42" i="11"/>
  <c r="L117" i="8"/>
  <c r="L119" i="8" s="1"/>
  <c r="L32" i="11" s="1"/>
  <c r="N72" i="8"/>
  <c r="L69" i="8"/>
  <c r="R30" i="8"/>
  <c r="R34" i="8" s="1"/>
  <c r="R35" i="8" s="1"/>
  <c r="S27" i="8"/>
  <c r="S30" i="8" s="1"/>
  <c r="R48" i="8"/>
  <c r="R49" i="8" s="1"/>
  <c r="Q46" i="8"/>
  <c r="Q45" i="8"/>
  <c r="Q47" i="8" s="1"/>
  <c r="H12" i="24"/>
  <c r="H13" i="23"/>
  <c r="J83" i="11"/>
  <c r="J72" i="11"/>
  <c r="J108" i="8"/>
  <c r="J59" i="11" s="1"/>
  <c r="K106" i="8"/>
  <c r="K16" i="11" s="1"/>
  <c r="J57" i="11"/>
  <c r="J41" i="10"/>
  <c r="Q31" i="8"/>
  <c r="Q33" i="8" s="1"/>
  <c r="Q32" i="8"/>
  <c r="N95" i="8"/>
  <c r="N28" i="10" s="1"/>
  <c r="O81" i="8"/>
  <c r="N90" i="8"/>
  <c r="N22" i="10" s="1"/>
  <c r="H36" i="14"/>
  <c r="G37" i="14"/>
  <c r="J38" i="14"/>
  <c r="H83" i="11"/>
  <c r="H72" i="11"/>
  <c r="I106" i="8"/>
  <c r="I16" i="11" s="1"/>
  <c r="H57" i="11"/>
  <c r="H108" i="8"/>
  <c r="H59" i="11" s="1"/>
  <c r="H41" i="10"/>
  <c r="P20" i="8"/>
  <c r="P18" i="8" s="1"/>
  <c r="O62" i="8"/>
  <c r="O12" i="11" s="1"/>
  <c r="O10" i="11"/>
  <c r="O136" i="8" l="1"/>
  <c r="O56" i="10" s="1"/>
  <c r="N69" i="8"/>
  <c r="N24" i="14"/>
  <c r="M7" i="23"/>
  <c r="M6" i="24"/>
  <c r="O63" i="8"/>
  <c r="O13" i="11" s="1"/>
  <c r="O9" i="11"/>
  <c r="P10" i="11"/>
  <c r="P62" i="8"/>
  <c r="P12" i="11" s="1"/>
  <c r="H18" i="23"/>
  <c r="H20" i="24"/>
  <c r="S13" i="8"/>
  <c r="S16" i="8" s="1"/>
  <c r="R16" i="8"/>
  <c r="I29" i="16"/>
  <c r="G29" i="16"/>
  <c r="H29" i="16"/>
  <c r="N10" i="10"/>
  <c r="I18" i="23"/>
  <c r="I20" i="24"/>
  <c r="L34" i="14"/>
  <c r="L74" i="10"/>
  <c r="M5" i="24"/>
  <c r="O79" i="11"/>
  <c r="O69" i="11"/>
  <c r="M17" i="24" s="1"/>
  <c r="O23" i="14"/>
  <c r="O68" i="8"/>
  <c r="O12" i="10" s="1"/>
  <c r="R41" i="15"/>
  <c r="O112" i="8"/>
  <c r="O76" i="8"/>
  <c r="O69" i="8"/>
  <c r="O114" i="8"/>
  <c r="O116" i="8" s="1"/>
  <c r="O9" i="10"/>
  <c r="O10" i="10" s="1"/>
  <c r="M6" i="23"/>
  <c r="O73" i="8"/>
  <c r="O84" i="8"/>
  <c r="M21" i="10"/>
  <c r="M43" i="11"/>
  <c r="M27" i="14"/>
  <c r="M32" i="14" s="1"/>
  <c r="S23" i="16"/>
  <c r="D37" i="16"/>
  <c r="S54" i="8"/>
  <c r="D30" i="25"/>
  <c r="E30" i="25" s="1"/>
  <c r="L44" i="11"/>
  <c r="G18" i="23"/>
  <c r="G20" i="24"/>
  <c r="Q55" i="8"/>
  <c r="Q74" i="6" s="1"/>
  <c r="M45" i="11"/>
  <c r="M113" i="8"/>
  <c r="M123" i="8" s="1"/>
  <c r="M46" i="10"/>
  <c r="Q17" i="8"/>
  <c r="M33" i="14"/>
  <c r="M42" i="11"/>
  <c r="M78" i="10"/>
  <c r="S45" i="8"/>
  <c r="S34" i="8"/>
  <c r="S35" i="8" s="1"/>
  <c r="R31" i="8"/>
  <c r="R33" i="8" s="1"/>
  <c r="R32" i="8"/>
  <c r="P81" i="8"/>
  <c r="O90" i="8"/>
  <c r="O22" i="10" s="1"/>
  <c r="O95" i="8"/>
  <c r="O28" i="10" s="1"/>
  <c r="P136" i="8"/>
  <c r="P56" i="10" s="1"/>
  <c r="L13" i="10"/>
  <c r="L14" i="10" s="1"/>
  <c r="L78" i="8"/>
  <c r="L70" i="8"/>
  <c r="L22" i="11" s="1"/>
  <c r="N33" i="14"/>
  <c r="N78" i="10"/>
  <c r="N42" i="11"/>
  <c r="P21" i="8"/>
  <c r="P19" i="8" s="1"/>
  <c r="P58" i="8"/>
  <c r="Q61" i="8" s="1"/>
  <c r="Q11" i="11" s="1"/>
  <c r="Q60" i="8"/>
  <c r="Q20" i="8"/>
  <c r="N43" i="11"/>
  <c r="N21" i="10"/>
  <c r="N27" i="14"/>
  <c r="N32" i="14" s="1"/>
  <c r="O75" i="8"/>
  <c r="N77" i="8"/>
  <c r="N17" i="10" s="1"/>
  <c r="M13" i="10"/>
  <c r="M14" i="10" s="1"/>
  <c r="M70" i="8"/>
  <c r="M22" i="11" s="1"/>
  <c r="M78" i="8"/>
  <c r="R47" i="8"/>
  <c r="S31" i="8"/>
  <c r="K17" i="24"/>
  <c r="G22" i="16"/>
  <c r="G23" i="16" s="1"/>
  <c r="N13" i="10"/>
  <c r="N14" i="10" s="1"/>
  <c r="N70" i="8"/>
  <c r="N22" i="11" s="1"/>
  <c r="R54" i="8"/>
  <c r="L17" i="24"/>
  <c r="H22" i="16"/>
  <c r="H23" i="16" s="1"/>
  <c r="N113" i="8"/>
  <c r="N45" i="11"/>
  <c r="N46" i="10"/>
  <c r="C31" i="21"/>
  <c r="C30" i="21"/>
  <c r="D34" i="25" s="1"/>
  <c r="E34" i="25" s="1"/>
  <c r="S48" i="8"/>
  <c r="S49" i="8" s="1"/>
  <c r="R46" i="8"/>
  <c r="R45" i="8"/>
  <c r="O72" i="8"/>
  <c r="N74" i="8"/>
  <c r="N16" i="10" s="1"/>
  <c r="N140" i="8"/>
  <c r="M51" i="10"/>
  <c r="L47" i="10"/>
  <c r="L49" i="10" s="1"/>
  <c r="L53" i="10" s="1"/>
  <c r="M117" i="8"/>
  <c r="M119" i="8" s="1"/>
  <c r="S46" i="8" l="1"/>
  <c r="S33" i="8"/>
  <c r="R20" i="8"/>
  <c r="R58" i="8" s="1"/>
  <c r="M44" i="11"/>
  <c r="J7" i="24"/>
  <c r="J8" i="23"/>
  <c r="C15" i="20"/>
  <c r="E15" i="20" s="1"/>
  <c r="L80" i="11"/>
  <c r="L82" i="8"/>
  <c r="L79" i="8"/>
  <c r="M14" i="11"/>
  <c r="L18" i="10"/>
  <c r="L19" i="10" s="1"/>
  <c r="L91" i="8"/>
  <c r="L70" i="11"/>
  <c r="L14" i="11"/>
  <c r="O27" i="14"/>
  <c r="O32" i="14" s="1"/>
  <c r="O43" i="11"/>
  <c r="O21" i="10"/>
  <c r="P75" i="8"/>
  <c r="O77" i="8"/>
  <c r="O17" i="10" s="1"/>
  <c r="O13" i="10"/>
  <c r="O14" i="10" s="1"/>
  <c r="O70" i="8"/>
  <c r="O22" i="11" s="1"/>
  <c r="M47" i="10"/>
  <c r="M49" i="10" s="1"/>
  <c r="M53" i="10" s="1"/>
  <c r="N117" i="8"/>
  <c r="R55" i="8"/>
  <c r="R74" i="6" s="1"/>
  <c r="Q10" i="11"/>
  <c r="Q62" i="8"/>
  <c r="Q12" i="11" s="1"/>
  <c r="O140" i="8"/>
  <c r="N51" i="10"/>
  <c r="P59" i="8"/>
  <c r="P67" i="8"/>
  <c r="P56" i="8"/>
  <c r="P46" i="11" s="1"/>
  <c r="S47" i="8"/>
  <c r="Q18" i="8"/>
  <c r="K7" i="24"/>
  <c r="K8" i="23"/>
  <c r="M80" i="11"/>
  <c r="C30" i="16" s="1"/>
  <c r="F15" i="20"/>
  <c r="H15" i="20" s="1"/>
  <c r="M79" i="8"/>
  <c r="M91" i="8"/>
  <c r="M82" i="8"/>
  <c r="M18" i="10"/>
  <c r="M19" i="10" s="1"/>
  <c r="M70" i="11"/>
  <c r="M34" i="14"/>
  <c r="M74" i="10"/>
  <c r="C11" i="17"/>
  <c r="N34" i="14"/>
  <c r="N74" i="10"/>
  <c r="P95" i="8"/>
  <c r="P28" i="10" s="1"/>
  <c r="Q81" i="8"/>
  <c r="Q136" i="8" s="1"/>
  <c r="Q56" i="10" s="1"/>
  <c r="P90" i="8"/>
  <c r="P22" i="10" s="1"/>
  <c r="D11" i="17"/>
  <c r="R17" i="8"/>
  <c r="R18" i="8"/>
  <c r="S20" i="8"/>
  <c r="S18" i="8" s="1"/>
  <c r="N78" i="8"/>
  <c r="N14" i="11" s="1"/>
  <c r="S55" i="8"/>
  <c r="S74" i="6" s="1"/>
  <c r="P72" i="8"/>
  <c r="O74" i="8"/>
  <c r="O16" i="10" s="1"/>
  <c r="N123" i="8"/>
  <c r="N44" i="11" s="1"/>
  <c r="M32" i="11"/>
  <c r="O42" i="11"/>
  <c r="O33" i="14"/>
  <c r="O78" i="10"/>
  <c r="S17" i="8"/>
  <c r="Q21" i="8"/>
  <c r="Q19" i="8" s="1"/>
  <c r="Q58" i="8"/>
  <c r="R61" i="8" s="1"/>
  <c r="R11" i="11" s="1"/>
  <c r="O45" i="11"/>
  <c r="O113" i="8"/>
  <c r="O123" i="8" s="1"/>
  <c r="O44" i="11" s="1"/>
  <c r="O46" i="10"/>
  <c r="O24" i="14"/>
  <c r="S32" i="8"/>
  <c r="R21" i="8" l="1"/>
  <c r="R56" i="8"/>
  <c r="R46" i="11" s="1"/>
  <c r="S61" i="8"/>
  <c r="S11" i="11" s="1"/>
  <c r="S60" i="8"/>
  <c r="O78" i="8"/>
  <c r="O80" i="11" s="1"/>
  <c r="S10" i="11"/>
  <c r="K18" i="24"/>
  <c r="K19" i="23"/>
  <c r="J22" i="16"/>
  <c r="J23" i="16" s="1"/>
  <c r="J9" i="23"/>
  <c r="L23" i="11"/>
  <c r="J8" i="24"/>
  <c r="F16" i="20"/>
  <c r="M24" i="10"/>
  <c r="M25" i="10" s="1"/>
  <c r="M92" i="8"/>
  <c r="K9" i="23"/>
  <c r="M23" i="11"/>
  <c r="K8" i="24"/>
  <c r="Q95" i="8"/>
  <c r="Q28" i="10" s="1"/>
  <c r="Q90" i="8"/>
  <c r="Q22" i="10" s="1"/>
  <c r="R81" i="8"/>
  <c r="R136" i="8" s="1"/>
  <c r="R56" i="10" s="1"/>
  <c r="P140" i="8"/>
  <c r="O51" i="10"/>
  <c r="C16" i="20"/>
  <c r="L92" i="8"/>
  <c r="L24" i="10"/>
  <c r="L25" i="10" s="1"/>
  <c r="L96" i="8"/>
  <c r="Q59" i="8"/>
  <c r="Q67" i="8"/>
  <c r="Q56" i="8"/>
  <c r="Q46" i="11" s="1"/>
  <c r="L7" i="24"/>
  <c r="L8" i="23"/>
  <c r="I15" i="20"/>
  <c r="K15" i="20" s="1"/>
  <c r="N82" i="8"/>
  <c r="O14" i="11"/>
  <c r="N79" i="8"/>
  <c r="N91" i="8"/>
  <c r="N80" i="11"/>
  <c r="N18" i="10"/>
  <c r="N19" i="10" s="1"/>
  <c r="N70" i="11"/>
  <c r="S58" i="8"/>
  <c r="S21" i="8"/>
  <c r="S19" i="8" s="1"/>
  <c r="R60" i="8"/>
  <c r="M25" i="14"/>
  <c r="M85" i="8"/>
  <c r="M83" i="8"/>
  <c r="M24" i="11" s="1"/>
  <c r="M38" i="10"/>
  <c r="M70" i="10" s="1"/>
  <c r="L38" i="10"/>
  <c r="L70" i="10" s="1"/>
  <c r="L25" i="14"/>
  <c r="L83" i="8"/>
  <c r="L24" i="11" s="1"/>
  <c r="L85" i="8"/>
  <c r="M7" i="24"/>
  <c r="M8" i="23"/>
  <c r="N5" i="24"/>
  <c r="C29" i="24"/>
  <c r="S41" i="15"/>
  <c r="P68" i="8"/>
  <c r="P12" i="10" s="1"/>
  <c r="P84" i="8"/>
  <c r="P9" i="10"/>
  <c r="P10" i="10" s="1"/>
  <c r="P23" i="14"/>
  <c r="P69" i="8"/>
  <c r="N6" i="23"/>
  <c r="P114" i="8"/>
  <c r="P116" i="8" s="1"/>
  <c r="P69" i="11"/>
  <c r="N17" i="24" s="1"/>
  <c r="P79" i="11"/>
  <c r="P112" i="8"/>
  <c r="P76" i="8"/>
  <c r="P77" i="8" s="1"/>
  <c r="P17" i="10" s="1"/>
  <c r="P73" i="8"/>
  <c r="P74" i="8" s="1"/>
  <c r="P16" i="10" s="1"/>
  <c r="Q72" i="8"/>
  <c r="N7" i="23"/>
  <c r="P9" i="11"/>
  <c r="P63" i="8"/>
  <c r="P13" i="11" s="1"/>
  <c r="N6" i="24"/>
  <c r="R59" i="8"/>
  <c r="R67" i="8"/>
  <c r="N47" i="10"/>
  <c r="N49" i="10" s="1"/>
  <c r="N53" i="10" s="1"/>
  <c r="O117" i="8"/>
  <c r="N119" i="8"/>
  <c r="H30" i="16"/>
  <c r="I30" i="16"/>
  <c r="G30" i="16"/>
  <c r="Q75" i="8"/>
  <c r="I11" i="17"/>
  <c r="F11" i="17"/>
  <c r="E11" i="17"/>
  <c r="K11" i="17" s="1"/>
  <c r="O34" i="14"/>
  <c r="O74" i="10"/>
  <c r="I22" i="16"/>
  <c r="I23" i="16" s="1"/>
  <c r="J18" i="24"/>
  <c r="J19" i="23"/>
  <c r="R19" i="8"/>
  <c r="S62" i="8" l="1"/>
  <c r="S12" i="11" s="1"/>
  <c r="O18" i="10"/>
  <c r="O19" i="10" s="1"/>
  <c r="O70" i="11"/>
  <c r="M18" i="24" s="1"/>
  <c r="O91" i="8"/>
  <c r="O79" i="8"/>
  <c r="O23" i="11" s="1"/>
  <c r="O82" i="8"/>
  <c r="N25" i="14"/>
  <c r="N85" i="8"/>
  <c r="N15" i="11" s="1"/>
  <c r="N83" i="8"/>
  <c r="N24" i="11" s="1"/>
  <c r="N38" i="10"/>
  <c r="N70" i="10" s="1"/>
  <c r="R72" i="8"/>
  <c r="Q74" i="8"/>
  <c r="Q16" i="10" s="1"/>
  <c r="P45" i="11"/>
  <c r="P46" i="10"/>
  <c r="P113" i="8"/>
  <c r="P123" i="8" s="1"/>
  <c r="O47" i="10"/>
  <c r="O49" i="10" s="1"/>
  <c r="O53" i="10" s="1"/>
  <c r="P117" i="8"/>
  <c r="O119" i="8"/>
  <c r="O32" i="11" s="1"/>
  <c r="I16" i="20"/>
  <c r="N24" i="10"/>
  <c r="N25" i="10" s="1"/>
  <c r="N92" i="8"/>
  <c r="N23" i="11"/>
  <c r="L9" i="23"/>
  <c r="L8" i="24"/>
  <c r="R75" i="8"/>
  <c r="F19" i="20"/>
  <c r="H19" i="20" s="1"/>
  <c r="H16" i="20"/>
  <c r="Q9" i="11"/>
  <c r="Q63" i="8"/>
  <c r="Q13" i="11" s="1"/>
  <c r="O25" i="14"/>
  <c r="O38" i="10"/>
  <c r="O70" i="10" s="1"/>
  <c r="O83" i="8"/>
  <c r="O24" i="11" s="1"/>
  <c r="O85" i="8"/>
  <c r="R10" i="11"/>
  <c r="R62" i="8"/>
  <c r="R12" i="11" s="1"/>
  <c r="L26" i="14"/>
  <c r="Q23" i="14"/>
  <c r="Q24" i="14" s="1"/>
  <c r="Q79" i="11"/>
  <c r="T41" i="15"/>
  <c r="Q112" i="8"/>
  <c r="Q76" i="8"/>
  <c r="Q77" i="8" s="1"/>
  <c r="Q17" i="10" s="1"/>
  <c r="Q84" i="8"/>
  <c r="Q9" i="10"/>
  <c r="Q10" i="10" s="1"/>
  <c r="Q73" i="8"/>
  <c r="Q68" i="8"/>
  <c r="Q12" i="10" s="1"/>
  <c r="Q69" i="11"/>
  <c r="Q114" i="8"/>
  <c r="Q116" i="8" s="1"/>
  <c r="P33" i="14"/>
  <c r="P78" i="10"/>
  <c r="P42" i="11"/>
  <c r="O24" i="10"/>
  <c r="O25" i="10" s="1"/>
  <c r="O92" i="8"/>
  <c r="C8" i="17"/>
  <c r="K9" i="24"/>
  <c r="X41" i="15"/>
  <c r="K10" i="23"/>
  <c r="M39" i="10"/>
  <c r="M40" i="10" s="1"/>
  <c r="M121" i="8"/>
  <c r="M28" i="14"/>
  <c r="M86" i="8"/>
  <c r="M81" i="11"/>
  <c r="M71" i="11"/>
  <c r="D8" i="17"/>
  <c r="M26" i="14"/>
  <c r="L29" i="10"/>
  <c r="L97" i="8"/>
  <c r="L31" i="10" s="1"/>
  <c r="L71" i="10" s="1"/>
  <c r="L76" i="10" s="1"/>
  <c r="L79" i="10" s="1"/>
  <c r="N32" i="11"/>
  <c r="P13" i="10"/>
  <c r="P14" i="10" s="1"/>
  <c r="P70" i="8"/>
  <c r="P22" i="11" s="1"/>
  <c r="P78" i="8"/>
  <c r="S59" i="8"/>
  <c r="S67" i="8"/>
  <c r="S56" i="8"/>
  <c r="S46" i="11" s="1"/>
  <c r="E16" i="20"/>
  <c r="C45" i="20" s="1"/>
  <c r="C19" i="20"/>
  <c r="E19" i="20" s="1"/>
  <c r="R23" i="14"/>
  <c r="R79" i="11"/>
  <c r="R112" i="8"/>
  <c r="R76" i="8"/>
  <c r="U41" i="15"/>
  <c r="R9" i="10"/>
  <c r="R10" i="10" s="1"/>
  <c r="R84" i="8"/>
  <c r="R69" i="11"/>
  <c r="R68" i="8"/>
  <c r="R12" i="10" s="1"/>
  <c r="R114" i="8"/>
  <c r="R116" i="8" s="1"/>
  <c r="R73" i="8"/>
  <c r="P24" i="14"/>
  <c r="L18" i="24"/>
  <c r="L19" i="23"/>
  <c r="K22" i="16"/>
  <c r="K23" i="16" s="1"/>
  <c r="R9" i="11"/>
  <c r="R63" i="8"/>
  <c r="R13" i="11" s="1"/>
  <c r="Q140" i="8"/>
  <c r="P51" i="10"/>
  <c r="P43" i="11"/>
  <c r="P27" i="14"/>
  <c r="P32" i="14" s="1"/>
  <c r="P21" i="10"/>
  <c r="J9" i="24"/>
  <c r="J10" i="23"/>
  <c r="W41" i="15"/>
  <c r="L28" i="14"/>
  <c r="L81" i="11"/>
  <c r="L84" i="11" s="1"/>
  <c r="L39" i="10"/>
  <c r="L40" i="10" s="1"/>
  <c r="M15" i="11"/>
  <c r="L86" i="8"/>
  <c r="L121" i="8"/>
  <c r="L52" i="11"/>
  <c r="L71" i="11"/>
  <c r="L15" i="11"/>
  <c r="R95" i="8"/>
  <c r="R28" i="10" s="1"/>
  <c r="R90" i="8"/>
  <c r="R22" i="10" s="1"/>
  <c r="S81" i="8"/>
  <c r="S136" i="8" s="1"/>
  <c r="S56" i="10" s="1"/>
  <c r="M8" i="24" l="1"/>
  <c r="M9" i="23"/>
  <c r="M19" i="23"/>
  <c r="R24" i="14"/>
  <c r="Q69" i="8"/>
  <c r="R69" i="8"/>
  <c r="R70" i="8" s="1"/>
  <c r="R22" i="11" s="1"/>
  <c r="R27" i="14"/>
  <c r="R32" i="14" s="1"/>
  <c r="R21" i="10"/>
  <c r="R43" i="11"/>
  <c r="Q78" i="8"/>
  <c r="Q70" i="8"/>
  <c r="Q22" i="11" s="1"/>
  <c r="Q13" i="10"/>
  <c r="Q14" i="10" s="1"/>
  <c r="K16" i="20"/>
  <c r="I19" i="20"/>
  <c r="K19" i="20" s="1"/>
  <c r="L98" i="8"/>
  <c r="Q45" i="11"/>
  <c r="Q119" i="8"/>
  <c r="Q46" i="10"/>
  <c r="Q113" i="8"/>
  <c r="Q123" i="8" s="1"/>
  <c r="Q44" i="11" s="1"/>
  <c r="L27" i="11"/>
  <c r="D22" i="23"/>
  <c r="C40" i="24"/>
  <c r="D45" i="20"/>
  <c r="P34" i="14"/>
  <c r="P74" i="10"/>
  <c r="R140" i="8"/>
  <c r="Q51" i="10"/>
  <c r="R45" i="11"/>
  <c r="R46" i="10"/>
  <c r="R113" i="8"/>
  <c r="R123" i="8" s="1"/>
  <c r="R44" i="11" s="1"/>
  <c r="I8" i="17"/>
  <c r="E8" i="17"/>
  <c r="K8" i="17" s="1"/>
  <c r="F8" i="17"/>
  <c r="P49" i="10"/>
  <c r="P53" i="10" s="1"/>
  <c r="O26" i="14"/>
  <c r="P44" i="11"/>
  <c r="S72" i="8"/>
  <c r="R74" i="8"/>
  <c r="R16" i="10" s="1"/>
  <c r="M84" i="11"/>
  <c r="R22" i="16" s="1"/>
  <c r="C31" i="16"/>
  <c r="G26" i="21"/>
  <c r="J26" i="21" s="1"/>
  <c r="J10" i="24"/>
  <c r="J11" i="23"/>
  <c r="L25" i="11"/>
  <c r="D8" i="19"/>
  <c r="D41" i="15"/>
  <c r="S69" i="11"/>
  <c r="V41" i="15"/>
  <c r="E41" i="15"/>
  <c r="S79" i="11"/>
  <c r="S23" i="14"/>
  <c r="C23" i="19" s="1"/>
  <c r="S112" i="8"/>
  <c r="S76" i="8"/>
  <c r="S68" i="8"/>
  <c r="S12" i="10" s="1"/>
  <c r="S114" i="8"/>
  <c r="S116" i="8" s="1"/>
  <c r="S84" i="8"/>
  <c r="S73" i="8"/>
  <c r="S9" i="10"/>
  <c r="S10" i="10" s="1"/>
  <c r="E54" i="15"/>
  <c r="M25" i="11"/>
  <c r="K10" i="24"/>
  <c r="K11" i="23"/>
  <c r="S9" i="11"/>
  <c r="S63" i="8"/>
  <c r="S13" i="11" s="1"/>
  <c r="N7" i="24"/>
  <c r="N8" i="23"/>
  <c r="P82" i="8"/>
  <c r="P18" i="10"/>
  <c r="P19" i="10" s="1"/>
  <c r="P80" i="11"/>
  <c r="P79" i="8"/>
  <c r="P91" i="8"/>
  <c r="P70" i="11"/>
  <c r="P14" i="11"/>
  <c r="M31" i="11"/>
  <c r="M122" i="8"/>
  <c r="M125" i="8"/>
  <c r="Q42" i="11"/>
  <c r="Q33" i="14"/>
  <c r="Q78" i="10"/>
  <c r="Q27" i="14"/>
  <c r="Q32" i="14" s="1"/>
  <c r="Q21" i="10"/>
  <c r="Q43" i="11"/>
  <c r="P47" i="10"/>
  <c r="Q117" i="8"/>
  <c r="P119" i="8"/>
  <c r="P32" i="11" s="1"/>
  <c r="R77" i="8"/>
  <c r="R17" i="10" s="1"/>
  <c r="S75" i="8"/>
  <c r="K19" i="24"/>
  <c r="M22" i="16"/>
  <c r="C34" i="24"/>
  <c r="L31" i="11"/>
  <c r="L125" i="8"/>
  <c r="L122" i="8"/>
  <c r="M29" i="14"/>
  <c r="M30" i="14"/>
  <c r="M31" i="14" s="1"/>
  <c r="R33" i="14"/>
  <c r="R42" i="11"/>
  <c r="R78" i="10"/>
  <c r="L9" i="24"/>
  <c r="Y41" i="15"/>
  <c r="L10" i="23"/>
  <c r="N28" i="14"/>
  <c r="N86" i="8"/>
  <c r="O15" i="11"/>
  <c r="N39" i="10"/>
  <c r="N40" i="10" s="1"/>
  <c r="N81" i="11"/>
  <c r="N84" i="11" s="1"/>
  <c r="N121" i="8"/>
  <c r="N71" i="11"/>
  <c r="S95" i="8"/>
  <c r="S28" i="10" s="1"/>
  <c r="S90" i="8"/>
  <c r="S22" i="10" s="1"/>
  <c r="J19" i="24"/>
  <c r="L22" i="16"/>
  <c r="L23" i="16" s="1"/>
  <c r="L30" i="14"/>
  <c r="L31" i="14"/>
  <c r="L29" i="14"/>
  <c r="M9" i="24"/>
  <c r="Z41" i="15"/>
  <c r="M10" i="23"/>
  <c r="O81" i="11"/>
  <c r="O84" i="11" s="1"/>
  <c r="O39" i="10"/>
  <c r="O40" i="10" s="1"/>
  <c r="O28" i="14"/>
  <c r="O86" i="8"/>
  <c r="O121" i="8"/>
  <c r="O71" i="11"/>
  <c r="M19" i="24" s="1"/>
  <c r="N26" i="14"/>
  <c r="E8" i="19" l="1"/>
  <c r="B19" i="19"/>
  <c r="R13" i="10"/>
  <c r="R14" i="10" s="1"/>
  <c r="S77" i="8"/>
  <c r="S17" i="10" s="1"/>
  <c r="O125" i="8"/>
  <c r="O122" i="8"/>
  <c r="O31" i="11"/>
  <c r="M11" i="23"/>
  <c r="M10" i="24"/>
  <c r="O25" i="11"/>
  <c r="O29" i="14"/>
  <c r="O30" i="14"/>
  <c r="O31" i="14" s="1"/>
  <c r="K15" i="23"/>
  <c r="K14" i="24"/>
  <c r="M92" i="10"/>
  <c r="M126" i="8"/>
  <c r="M41" i="11" s="1"/>
  <c r="M127" i="8"/>
  <c r="M40" i="11" s="1"/>
  <c r="L99" i="8"/>
  <c r="L32" i="10"/>
  <c r="M23" i="16"/>
  <c r="E37" i="16"/>
  <c r="M35" i="14"/>
  <c r="M38" i="14" s="1"/>
  <c r="Q34" i="14"/>
  <c r="Q74" i="10"/>
  <c r="L19" i="24"/>
  <c r="N22" i="16"/>
  <c r="N23" i="16" s="1"/>
  <c r="N31" i="11"/>
  <c r="N125" i="8"/>
  <c r="N122" i="8"/>
  <c r="K15" i="24"/>
  <c r="M39" i="14"/>
  <c r="K16" i="23"/>
  <c r="M33" i="11"/>
  <c r="M35" i="11" s="1"/>
  <c r="R34" i="14"/>
  <c r="R74" i="10"/>
  <c r="J15" i="24"/>
  <c r="J16" i="23"/>
  <c r="L39" i="14"/>
  <c r="L33" i="11"/>
  <c r="L35" i="11" s="1"/>
  <c r="N19" i="23"/>
  <c r="N18" i="24"/>
  <c r="S43" i="11"/>
  <c r="S21" i="10"/>
  <c r="S27" i="14"/>
  <c r="S32" i="14" s="1"/>
  <c r="N9" i="23"/>
  <c r="N8" i="24"/>
  <c r="P23" i="11"/>
  <c r="C37" i="16"/>
  <c r="R23" i="16"/>
  <c r="Q80" i="11"/>
  <c r="Q91" i="8"/>
  <c r="Q79" i="8"/>
  <c r="Q23" i="11" s="1"/>
  <c r="Q18" i="10"/>
  <c r="Q19" i="10" s="1"/>
  <c r="Q82" i="8"/>
  <c r="Q70" i="11"/>
  <c r="S69" i="8"/>
  <c r="P25" i="14"/>
  <c r="P38" i="10"/>
  <c r="P70" i="10" s="1"/>
  <c r="P85" i="8"/>
  <c r="P83" i="8"/>
  <c r="P24" i="11" s="1"/>
  <c r="S113" i="8"/>
  <c r="S46" i="10"/>
  <c r="S45" i="11"/>
  <c r="E45" i="20"/>
  <c r="C28" i="20"/>
  <c r="L11" i="23"/>
  <c r="N25" i="11"/>
  <c r="L10" i="24"/>
  <c r="S33" i="14"/>
  <c r="S42" i="11"/>
  <c r="S78" i="10"/>
  <c r="R51" i="10"/>
  <c r="S140" i="8"/>
  <c r="S51" i="10" s="1"/>
  <c r="L35" i="14"/>
  <c r="Q47" i="10"/>
  <c r="Q49" i="10" s="1"/>
  <c r="Q53" i="10" s="1"/>
  <c r="R117" i="8"/>
  <c r="Q14" i="11"/>
  <c r="T23" i="14"/>
  <c r="S24" i="14"/>
  <c r="P92" i="8"/>
  <c r="P24" i="10"/>
  <c r="P25" i="10" s="1"/>
  <c r="I31" i="16"/>
  <c r="G31" i="16"/>
  <c r="H31" i="16"/>
  <c r="Q32" i="11"/>
  <c r="S74" i="8"/>
  <c r="S16" i="10" s="1"/>
  <c r="J15" i="23"/>
  <c r="J14" i="24"/>
  <c r="L92" i="10"/>
  <c r="L74" i="11"/>
  <c r="J21" i="24" s="1"/>
  <c r="M18" i="11"/>
  <c r="L126" i="8"/>
  <c r="L41" i="11" s="1"/>
  <c r="L132" i="8"/>
  <c r="L18" i="11"/>
  <c r="L127" i="8"/>
  <c r="N29" i="14"/>
  <c r="N30" i="14"/>
  <c r="N31" i="14" s="1"/>
  <c r="R78" i="8"/>
  <c r="R14" i="11" s="1"/>
  <c r="O35" i="14" l="1"/>
  <c r="N35" i="14"/>
  <c r="N38" i="14" s="1"/>
  <c r="M36" i="14"/>
  <c r="L45" i="14"/>
  <c r="L36" i="14"/>
  <c r="L37" i="14"/>
  <c r="L38" i="14"/>
  <c r="C9" i="17"/>
  <c r="S70" i="8"/>
  <c r="S22" i="11" s="1"/>
  <c r="S13" i="10"/>
  <c r="S14" i="10" s="1"/>
  <c r="S78" i="8"/>
  <c r="Q25" i="14"/>
  <c r="Q83" i="8"/>
  <c r="Q24" i="11" s="1"/>
  <c r="Q85" i="8"/>
  <c r="Q15" i="11" s="1"/>
  <c r="Q38" i="10"/>
  <c r="Q70" i="10" s="1"/>
  <c r="N36" i="14"/>
  <c r="M45" i="14"/>
  <c r="M48" i="14" s="1"/>
  <c r="M37" i="14"/>
  <c r="S117" i="8"/>
  <c r="D23" i="25" s="1"/>
  <c r="E23" i="25" s="1"/>
  <c r="R47" i="10"/>
  <c r="R49" i="10" s="1"/>
  <c r="R53" i="10" s="1"/>
  <c r="R119" i="8"/>
  <c r="L144" i="8"/>
  <c r="L33" i="10"/>
  <c r="L15" i="24"/>
  <c r="C32" i="24"/>
  <c r="N39" i="14"/>
  <c r="L16" i="23"/>
  <c r="N33" i="11"/>
  <c r="N35" i="11" s="1"/>
  <c r="N9" i="24"/>
  <c r="AA41" i="15"/>
  <c r="P81" i="11"/>
  <c r="P84" i="11" s="1"/>
  <c r="N10" i="23"/>
  <c r="P28" i="14"/>
  <c r="P86" i="8"/>
  <c r="P39" i="10"/>
  <c r="P40" i="10" s="1"/>
  <c r="P121" i="8"/>
  <c r="P71" i="11"/>
  <c r="N19" i="24" s="1"/>
  <c r="P15" i="11"/>
  <c r="P26" i="14"/>
  <c r="D9" i="17"/>
  <c r="S74" i="10"/>
  <c r="S34" i="14"/>
  <c r="L15" i="23"/>
  <c r="L14" i="24"/>
  <c r="O18" i="11"/>
  <c r="N92" i="10"/>
  <c r="N126" i="8"/>
  <c r="N41" i="11" s="1"/>
  <c r="N127" i="8"/>
  <c r="N40" i="11" s="1"/>
  <c r="N18" i="11"/>
  <c r="S123" i="8"/>
  <c r="L134" i="8"/>
  <c r="M15" i="24"/>
  <c r="O39" i="14"/>
  <c r="M16" i="23"/>
  <c r="O33" i="11"/>
  <c r="O35" i="11" s="1"/>
  <c r="C24" i="19"/>
  <c r="C25" i="19" s="1"/>
  <c r="C26" i="19" s="1"/>
  <c r="T24" i="14"/>
  <c r="M15" i="23"/>
  <c r="M14" i="24"/>
  <c r="O92" i="10"/>
  <c r="O126" i="8"/>
  <c r="O41" i="11" s="1"/>
  <c r="O127" i="8"/>
  <c r="O40" i="11" s="1"/>
  <c r="R80" i="11"/>
  <c r="R82" i="8"/>
  <c r="R91" i="8"/>
  <c r="R18" i="10"/>
  <c r="R19" i="10" s="1"/>
  <c r="R79" i="8"/>
  <c r="R23" i="11" s="1"/>
  <c r="R70" i="11"/>
  <c r="G27" i="21"/>
  <c r="J27" i="21" s="1"/>
  <c r="L40" i="11"/>
  <c r="Q92" i="8"/>
  <c r="Q24" i="10"/>
  <c r="Q25" i="10" s="1"/>
  <c r="L100" i="8"/>
  <c r="Q26" i="14" l="1"/>
  <c r="L83" i="10"/>
  <c r="L85" i="10" s="1"/>
  <c r="L88" i="10" s="1"/>
  <c r="L104" i="8"/>
  <c r="L105" i="8" s="1"/>
  <c r="E9" i="17"/>
  <c r="K9" i="17" s="1"/>
  <c r="F9" i="17"/>
  <c r="I9" i="17"/>
  <c r="R25" i="14"/>
  <c r="R83" i="8"/>
  <c r="R24" i="11" s="1"/>
  <c r="R38" i="10"/>
  <c r="R70" i="10" s="1"/>
  <c r="R85" i="8"/>
  <c r="L135" i="8"/>
  <c r="P125" i="8"/>
  <c r="P122" i="8"/>
  <c r="P31" i="11"/>
  <c r="S44" i="11"/>
  <c r="D28" i="25"/>
  <c r="E28" i="25" s="1"/>
  <c r="S47" i="10"/>
  <c r="S49" i="10" s="1"/>
  <c r="S53" i="10" s="1"/>
  <c r="S119" i="8"/>
  <c r="S32" i="11" s="1"/>
  <c r="C31" i="24"/>
  <c r="N11" i="23"/>
  <c r="N10" i="24"/>
  <c r="P25" i="11"/>
  <c r="S82" i="8"/>
  <c r="S80" i="11"/>
  <c r="S91" i="8"/>
  <c r="S18" i="10"/>
  <c r="S19" i="10" s="1"/>
  <c r="S79" i="8"/>
  <c r="S23" i="11" s="1"/>
  <c r="S70" i="11"/>
  <c r="R24" i="10"/>
  <c r="R25" i="10" s="1"/>
  <c r="R92" i="8"/>
  <c r="L62" i="10"/>
  <c r="R32" i="11"/>
  <c r="S14" i="11"/>
  <c r="L48" i="14"/>
  <c r="P30" i="14"/>
  <c r="P31" i="14" s="1"/>
  <c r="P29" i="14"/>
  <c r="J11" i="24"/>
  <c r="J12" i="23"/>
  <c r="L82" i="11"/>
  <c r="L34" i="10"/>
  <c r="L35" i="10" s="1"/>
  <c r="L101" i="8"/>
  <c r="L26" i="11" s="1"/>
  <c r="L143" i="8"/>
  <c r="L145" i="8" s="1"/>
  <c r="L36" i="11" s="1"/>
  <c r="O36" i="14"/>
  <c r="N45" i="14"/>
  <c r="N48" i="14" s="1"/>
  <c r="N37" i="14"/>
  <c r="O45" i="14"/>
  <c r="O48" i="14" s="1"/>
  <c r="O37" i="14"/>
  <c r="AB41" i="15"/>
  <c r="Q81" i="11"/>
  <c r="Q84" i="11" s="1"/>
  <c r="Q28" i="14"/>
  <c r="Q86" i="8"/>
  <c r="Q25" i="11" s="1"/>
  <c r="Q39" i="10"/>
  <c r="Q40" i="10" s="1"/>
  <c r="Q121" i="8"/>
  <c r="Q71" i="11"/>
  <c r="O38" i="14"/>
  <c r="S24" i="10" l="1"/>
  <c r="S25" i="10" s="1"/>
  <c r="S92" i="8"/>
  <c r="S38" i="10"/>
  <c r="S70" i="10" s="1"/>
  <c r="S25" i="14"/>
  <c r="S83" i="8"/>
  <c r="S24" i="11" s="1"/>
  <c r="S85" i="8"/>
  <c r="J12" i="24"/>
  <c r="C17" i="20"/>
  <c r="E17" i="20" s="1"/>
  <c r="C46" i="20" s="1"/>
  <c r="L57" i="11"/>
  <c r="L72" i="11"/>
  <c r="L107" i="8"/>
  <c r="L108" i="8" s="1"/>
  <c r="L59" i="11" s="1"/>
  <c r="L83" i="11"/>
  <c r="L41" i="10"/>
  <c r="J13" i="23"/>
  <c r="L106" i="8"/>
  <c r="L16" i="11" s="1"/>
  <c r="L60" i="11"/>
  <c r="L62" i="11"/>
  <c r="N15" i="23"/>
  <c r="N14" i="24"/>
  <c r="P126" i="8"/>
  <c r="P41" i="11" s="1"/>
  <c r="P92" i="10"/>
  <c r="P127" i="8"/>
  <c r="P40" i="11" s="1"/>
  <c r="P18" i="11"/>
  <c r="L61" i="11"/>
  <c r="L73" i="11" s="1"/>
  <c r="L61" i="10"/>
  <c r="L63" i="10" s="1"/>
  <c r="Q31" i="11"/>
  <c r="Q122" i="8"/>
  <c r="Q125" i="8"/>
  <c r="Q18" i="11" s="1"/>
  <c r="L55" i="10"/>
  <c r="L89" i="10" s="1"/>
  <c r="M94" i="8"/>
  <c r="L137" i="8"/>
  <c r="L51" i="11" s="1"/>
  <c r="L53" i="11"/>
  <c r="L138" i="8"/>
  <c r="Q29" i="14"/>
  <c r="Q30" i="14"/>
  <c r="Q31" i="14" s="1"/>
  <c r="AC41" i="15"/>
  <c r="R81" i="11"/>
  <c r="R84" i="11" s="1"/>
  <c r="R39" i="10"/>
  <c r="R40" i="10" s="1"/>
  <c r="R121" i="8"/>
  <c r="R28" i="14"/>
  <c r="R86" i="8"/>
  <c r="R71" i="11"/>
  <c r="R26" i="14"/>
  <c r="R15" i="11"/>
  <c r="P35" i="14"/>
  <c r="P38" i="14" s="1"/>
  <c r="N15" i="24"/>
  <c r="P39" i="14"/>
  <c r="P33" i="11"/>
  <c r="P35" i="11" s="1"/>
  <c r="N16" i="23"/>
  <c r="Q35" i="14" l="1"/>
  <c r="Q36" i="14" s="1"/>
  <c r="J18" i="23"/>
  <c r="J20" i="24"/>
  <c r="O22" i="16"/>
  <c r="O23" i="16" s="1"/>
  <c r="C33" i="24"/>
  <c r="G28" i="21"/>
  <c r="J28" i="21" s="1"/>
  <c r="C32" i="21" s="1"/>
  <c r="D35" i="25" s="1"/>
  <c r="E35" i="25" s="1"/>
  <c r="J17" i="23"/>
  <c r="L50" i="11"/>
  <c r="J16" i="24"/>
  <c r="R25" i="11"/>
  <c r="L57" i="10"/>
  <c r="L65" i="10" s="1"/>
  <c r="L66" i="10" s="1"/>
  <c r="M87" i="10"/>
  <c r="E62" i="14"/>
  <c r="S26" i="14"/>
  <c r="R31" i="11"/>
  <c r="R122" i="8"/>
  <c r="R125" i="8"/>
  <c r="P45" i="14"/>
  <c r="P48" i="14" s="1"/>
  <c r="P37" i="14"/>
  <c r="P36" i="14"/>
  <c r="AD41" i="15"/>
  <c r="S28" i="14"/>
  <c r="S81" i="11"/>
  <c r="S84" i="11" s="1"/>
  <c r="S39" i="10"/>
  <c r="S40" i="10" s="1"/>
  <c r="S86" i="8"/>
  <c r="S121" i="8"/>
  <c r="S71" i="11"/>
  <c r="M52" i="11"/>
  <c r="M27" i="10"/>
  <c r="M72" i="10" s="1"/>
  <c r="M96" i="8"/>
  <c r="M74" i="11"/>
  <c r="K21" i="24" s="1"/>
  <c r="S15" i="11"/>
  <c r="E107" i="14"/>
  <c r="J13" i="24"/>
  <c r="J14" i="23"/>
  <c r="C18" i="20"/>
  <c r="E18" i="20" s="1"/>
  <c r="L75" i="11"/>
  <c r="E111" i="14"/>
  <c r="L58" i="11"/>
  <c r="L42" i="10"/>
  <c r="L17" i="11"/>
  <c r="M131" i="8"/>
  <c r="R29" i="14"/>
  <c r="R30" i="14"/>
  <c r="R31" i="14" s="1"/>
  <c r="Q92" i="10"/>
  <c r="Q126" i="8"/>
  <c r="Q41" i="11" s="1"/>
  <c r="Q127" i="8"/>
  <c r="Q40" i="11" s="1"/>
  <c r="Q39" i="14"/>
  <c r="Q33" i="11"/>
  <c r="Q35" i="11" s="1"/>
  <c r="R35" i="14" l="1"/>
  <c r="Q45" i="14"/>
  <c r="Q37" i="14"/>
  <c r="M82" i="10"/>
  <c r="M132" i="8"/>
  <c r="F54" i="15"/>
  <c r="S25" i="11"/>
  <c r="F41" i="15"/>
  <c r="D9" i="19"/>
  <c r="E9" i="19" s="1"/>
  <c r="D6" i="19"/>
  <c r="H92" i="6"/>
  <c r="E66" i="14"/>
  <c r="C35" i="24"/>
  <c r="J22" i="24"/>
  <c r="S122" i="8"/>
  <c r="S125" i="8"/>
  <c r="S18" i="11" s="1"/>
  <c r="S31" i="11"/>
  <c r="S29" i="14"/>
  <c r="S30" i="14"/>
  <c r="S31" i="14" s="1"/>
  <c r="R92" i="10"/>
  <c r="R126" i="8"/>
  <c r="R41" i="11" s="1"/>
  <c r="R127" i="8"/>
  <c r="R40" i="11" s="1"/>
  <c r="M29" i="10"/>
  <c r="M97" i="8"/>
  <c r="M31" i="10" s="1"/>
  <c r="M71" i="10" s="1"/>
  <c r="M76" i="10" s="1"/>
  <c r="M79" i="10" s="1"/>
  <c r="D7" i="19"/>
  <c r="R39" i="14"/>
  <c r="R33" i="11"/>
  <c r="R35" i="11" s="1"/>
  <c r="R18" i="11"/>
  <c r="Q38" i="14"/>
  <c r="S35" i="14" l="1"/>
  <c r="S38" i="14" s="1"/>
  <c r="E94" i="14"/>
  <c r="E96" i="14" s="1"/>
  <c r="D27" i="25" s="1"/>
  <c r="E27" i="25" s="1"/>
  <c r="Q48" i="14"/>
  <c r="R45" i="14"/>
  <c r="R37" i="14"/>
  <c r="S126" i="8"/>
  <c r="S41" i="11" s="1"/>
  <c r="S92" i="10"/>
  <c r="S127" i="8"/>
  <c r="S40" i="11" s="1"/>
  <c r="M27" i="11"/>
  <c r="M98" i="8"/>
  <c r="T29" i="14"/>
  <c r="T28" i="14" s="1"/>
  <c r="M134" i="8"/>
  <c r="S39" i="14"/>
  <c r="S33" i="11"/>
  <c r="S35" i="11" s="1"/>
  <c r="R36" i="14"/>
  <c r="R38" i="14"/>
  <c r="S36" i="14" l="1"/>
  <c r="M83" i="10"/>
  <c r="M85" i="10" s="1"/>
  <c r="M88" i="10" s="1"/>
  <c r="M104" i="8"/>
  <c r="M99" i="8"/>
  <c r="M32" i="10"/>
  <c r="M135" i="8"/>
  <c r="T30" i="14"/>
  <c r="T31" i="14" s="1"/>
  <c r="E54" i="14" s="1"/>
  <c r="R48" i="14"/>
  <c r="G41" i="15"/>
  <c r="S45" i="14"/>
  <c r="E14" i="15" s="1"/>
  <c r="E58" i="14"/>
  <c r="S37" i="14"/>
  <c r="E92" i="14"/>
  <c r="I15" i="15" l="1"/>
  <c r="F91" i="19"/>
  <c r="J17" i="15"/>
  <c r="I24" i="15"/>
  <c r="F89" i="19"/>
  <c r="G16" i="15"/>
  <c r="D24" i="15"/>
  <c r="E15" i="15"/>
  <c r="D14" i="15"/>
  <c r="E17" i="15"/>
  <c r="J14" i="15"/>
  <c r="H24" i="15"/>
  <c r="F15" i="15"/>
  <c r="E24" i="15"/>
  <c r="E25" i="15"/>
  <c r="H27" i="15"/>
  <c r="E27" i="15"/>
  <c r="I25" i="15"/>
  <c r="G17" i="15"/>
  <c r="G15" i="15"/>
  <c r="G24" i="15"/>
  <c r="G14" i="15"/>
  <c r="J15" i="15"/>
  <c r="G13" i="15"/>
  <c r="I13" i="15"/>
  <c r="E26" i="15"/>
  <c r="F16" i="15"/>
  <c r="F44" i="19"/>
  <c r="D13" i="15"/>
  <c r="F14" i="15"/>
  <c r="F27" i="15"/>
  <c r="H16" i="15"/>
  <c r="J25" i="15"/>
  <c r="E93" i="14"/>
  <c r="E56" i="14"/>
  <c r="E57" i="14" s="1"/>
  <c r="E59" i="14" s="1"/>
  <c r="H13" i="15"/>
  <c r="G25" i="15"/>
  <c r="M33" i="10"/>
  <c r="M144" i="8"/>
  <c r="H14" i="15"/>
  <c r="D27" i="15"/>
  <c r="M100" i="8"/>
  <c r="N94" i="8"/>
  <c r="M137" i="8"/>
  <c r="M51" i="11" s="1"/>
  <c r="M55" i="10"/>
  <c r="M138" i="8"/>
  <c r="I27" i="15"/>
  <c r="M60" i="11"/>
  <c r="M62" i="11"/>
  <c r="M89" i="10"/>
  <c r="S48" i="14"/>
  <c r="E71" i="14" s="1"/>
  <c r="F23" i="15"/>
  <c r="E16" i="15"/>
  <c r="D23" i="15"/>
  <c r="J16" i="15"/>
  <c r="F26" i="15"/>
  <c r="J27" i="15"/>
  <c r="D25" i="15"/>
  <c r="J26" i="15"/>
  <c r="G26" i="15"/>
  <c r="I17" i="15"/>
  <c r="H15" i="15"/>
  <c r="J13" i="15"/>
  <c r="H23" i="15"/>
  <c r="F41" i="19"/>
  <c r="F42" i="19"/>
  <c r="I14" i="15"/>
  <c r="G27" i="15"/>
  <c r="E13" i="15"/>
  <c r="F25" i="15"/>
  <c r="D26" i="15"/>
  <c r="G23" i="15"/>
  <c r="I23" i="15"/>
  <c r="F13" i="15"/>
  <c r="D16" i="15"/>
  <c r="I16" i="15"/>
  <c r="F17" i="15"/>
  <c r="F88" i="19"/>
  <c r="D15" i="15"/>
  <c r="D17" i="15"/>
  <c r="F24" i="15"/>
  <c r="I26" i="15"/>
  <c r="E23" i="15"/>
  <c r="J23" i="15"/>
  <c r="H25" i="15"/>
  <c r="H17" i="15"/>
  <c r="J24" i="15"/>
  <c r="H26" i="15"/>
  <c r="C6" i="17" l="1"/>
  <c r="T35" i="14"/>
  <c r="T38" i="14" s="1"/>
  <c r="E60" i="14"/>
  <c r="K17" i="23"/>
  <c r="K16" i="24"/>
  <c r="M50" i="11"/>
  <c r="M62" i="10"/>
  <c r="G44" i="19"/>
  <c r="C43" i="19"/>
  <c r="D6" i="17"/>
  <c r="N87" i="10"/>
  <c r="M57" i="10"/>
  <c r="N27" i="10"/>
  <c r="N72" i="10" s="1"/>
  <c r="N52" i="11"/>
  <c r="N96" i="8"/>
  <c r="N74" i="11"/>
  <c r="L21" i="24" s="1"/>
  <c r="G91" i="19"/>
  <c r="C90" i="19"/>
  <c r="K11" i="24"/>
  <c r="K12" i="23"/>
  <c r="M82" i="11"/>
  <c r="M34" i="10"/>
  <c r="M35" i="10" s="1"/>
  <c r="M101" i="8"/>
  <c r="M26" i="11" s="1"/>
  <c r="M105" i="8"/>
  <c r="M143" i="8"/>
  <c r="F6" i="17" l="1"/>
  <c r="K13" i="23"/>
  <c r="K12" i="24"/>
  <c r="M83" i="11"/>
  <c r="C32" i="16" s="1"/>
  <c r="M57" i="11"/>
  <c r="M41" i="10"/>
  <c r="F17" i="20"/>
  <c r="H17" i="20" s="1"/>
  <c r="M107" i="8"/>
  <c r="M108" i="8"/>
  <c r="M59" i="11" s="1"/>
  <c r="M72" i="11"/>
  <c r="M106" i="8"/>
  <c r="M16" i="11" s="1"/>
  <c r="M61" i="11"/>
  <c r="M73" i="11" s="1"/>
  <c r="M61" i="10"/>
  <c r="M63" i="10" s="1"/>
  <c r="M65" i="10" s="1"/>
  <c r="M66" i="10" s="1"/>
  <c r="M53" i="11"/>
  <c r="M145" i="8"/>
  <c r="M36" i="11" s="1"/>
  <c r="E65" i="14"/>
  <c r="E67" i="14" s="1"/>
  <c r="E72" i="14" s="1"/>
  <c r="E91" i="14"/>
  <c r="C92" i="19"/>
  <c r="G92" i="19"/>
  <c r="D92" i="19"/>
  <c r="N29" i="10"/>
  <c r="N97" i="8"/>
  <c r="N31" i="10" s="1"/>
  <c r="N71" i="10" s="1"/>
  <c r="N76" i="10" s="1"/>
  <c r="N79" i="10" s="1"/>
  <c r="I6" i="17"/>
  <c r="E6" i="17"/>
  <c r="K6" i="17" s="1"/>
  <c r="C45" i="19"/>
  <c r="G45" i="19"/>
  <c r="D45" i="19"/>
  <c r="E92" i="19" l="1"/>
  <c r="F92" i="19" s="1"/>
  <c r="G93" i="19" s="1"/>
  <c r="N98" i="8"/>
  <c r="N99" i="8" s="1"/>
  <c r="E45" i="19"/>
  <c r="F45" i="19" s="1"/>
  <c r="G46" i="19" s="1"/>
  <c r="C41" i="24"/>
  <c r="D46" i="20"/>
  <c r="K13" i="24"/>
  <c r="M75" i="11"/>
  <c r="K22" i="24" s="1"/>
  <c r="F18" i="20"/>
  <c r="H18" i="20" s="1"/>
  <c r="K14" i="23"/>
  <c r="M58" i="11"/>
  <c r="M42" i="10"/>
  <c r="N131" i="8"/>
  <c r="M17" i="11"/>
  <c r="G32" i="16"/>
  <c r="H32" i="16"/>
  <c r="H33" i="16" s="1"/>
  <c r="I32" i="16"/>
  <c r="P22" i="16"/>
  <c r="K18" i="23"/>
  <c r="K20" i="24"/>
  <c r="N27" i="11"/>
  <c r="C28" i="24"/>
  <c r="D20" i="23"/>
  <c r="D25" i="25"/>
  <c r="E25" i="25" s="1"/>
  <c r="E73" i="14"/>
  <c r="D93" i="19" l="1"/>
  <c r="C93" i="19"/>
  <c r="E93" i="19" s="1"/>
  <c r="F93" i="19" s="1"/>
  <c r="N32" i="10"/>
  <c r="C46" i="19"/>
  <c r="D46" i="19"/>
  <c r="C10" i="17"/>
  <c r="G33" i="16"/>
  <c r="H41" i="15"/>
  <c r="E80" i="14"/>
  <c r="E83" i="14" s="1"/>
  <c r="E89" i="14"/>
  <c r="E90" i="14"/>
  <c r="E74" i="14"/>
  <c r="F37" i="16"/>
  <c r="P23" i="16"/>
  <c r="N33" i="10"/>
  <c r="N144" i="8"/>
  <c r="N82" i="10"/>
  <c r="N132" i="8"/>
  <c r="D10" i="17"/>
  <c r="I33" i="16"/>
  <c r="D12" i="23"/>
  <c r="E103" i="14"/>
  <c r="C21" i="24"/>
  <c r="N100" i="8"/>
  <c r="E46" i="19" l="1"/>
  <c r="F46" i="19" s="1"/>
  <c r="C47" i="19" s="1"/>
  <c r="D94" i="19"/>
  <c r="C94" i="19"/>
  <c r="G94" i="19"/>
  <c r="N134" i="8"/>
  <c r="N143" i="8" s="1"/>
  <c r="N62" i="10"/>
  <c r="L11" i="24"/>
  <c r="L12" i="23"/>
  <c r="N82" i="11"/>
  <c r="N101" i="8"/>
  <c r="N26" i="11" s="1"/>
  <c r="N34" i="10"/>
  <c r="N35" i="10" s="1"/>
  <c r="I10" i="17"/>
  <c r="F10" i="17"/>
  <c r="E10" i="17"/>
  <c r="K10" i="17" s="1"/>
  <c r="C27" i="24"/>
  <c r="D16" i="25"/>
  <c r="E16" i="25" s="1"/>
  <c r="D19" i="23"/>
  <c r="J33" i="19"/>
  <c r="J27" i="19"/>
  <c r="C14" i="19"/>
  <c r="I41" i="15"/>
  <c r="J39" i="19"/>
  <c r="C20" i="24"/>
  <c r="J37" i="19"/>
  <c r="J23" i="19"/>
  <c r="J30" i="19"/>
  <c r="C7" i="24"/>
  <c r="J31" i="19"/>
  <c r="J34" i="19"/>
  <c r="J25" i="19"/>
  <c r="E102" i="14"/>
  <c r="J29" i="19"/>
  <c r="C15" i="17"/>
  <c r="J28" i="19"/>
  <c r="J35" i="19"/>
  <c r="J24" i="19"/>
  <c r="D11" i="23"/>
  <c r="J38" i="19"/>
  <c r="J26" i="19"/>
  <c r="J36" i="19"/>
  <c r="J32" i="19"/>
  <c r="D54" i="15"/>
  <c r="E85" i="14"/>
  <c r="C32" i="15"/>
  <c r="C27" i="19"/>
  <c r="D20" i="25"/>
  <c r="E20" i="25" s="1"/>
  <c r="D47" i="19" l="1"/>
  <c r="E47" i="19" s="1"/>
  <c r="F47" i="19" s="1"/>
  <c r="D48" i="19" s="1"/>
  <c r="G47" i="19"/>
  <c r="E94" i="19"/>
  <c r="F94" i="19" s="1"/>
  <c r="D95" i="19" s="1"/>
  <c r="C7" i="19"/>
  <c r="E7" i="19" s="1"/>
  <c r="C28" i="19"/>
  <c r="C6" i="19"/>
  <c r="N61" i="10"/>
  <c r="N63" i="10" s="1"/>
  <c r="C15" i="19"/>
  <c r="J41" i="15"/>
  <c r="N145" i="8"/>
  <c r="N36" i="11" s="1"/>
  <c r="N83" i="10"/>
  <c r="N85" i="10" s="1"/>
  <c r="N88" i="10" s="1"/>
  <c r="N104" i="8"/>
  <c r="N61" i="11" s="1"/>
  <c r="N73" i="11" s="1"/>
  <c r="N135" i="8"/>
  <c r="D26" i="25"/>
  <c r="E26" i="25" s="1"/>
  <c r="E104" i="14"/>
  <c r="C6" i="24"/>
  <c r="G48" i="19" l="1"/>
  <c r="C48" i="19"/>
  <c r="G95" i="19"/>
  <c r="C95" i="19"/>
  <c r="E95" i="19" s="1"/>
  <c r="F95" i="19" s="1"/>
  <c r="D96" i="19" s="1"/>
  <c r="E48" i="19"/>
  <c r="F48" i="19" s="1"/>
  <c r="C49" i="19" s="1"/>
  <c r="N53" i="11"/>
  <c r="O94" i="8"/>
  <c r="N137" i="8"/>
  <c r="N51" i="11" s="1"/>
  <c r="N55" i="10"/>
  <c r="N138" i="8"/>
  <c r="N89" i="10"/>
  <c r="C96" i="19"/>
  <c r="G96" i="19"/>
  <c r="D21" i="23"/>
  <c r="E6" i="19"/>
  <c r="C37" i="24"/>
  <c r="B18" i="19"/>
  <c r="C36" i="24" s="1"/>
  <c r="N60" i="11"/>
  <c r="N62" i="11"/>
  <c r="N105" i="8"/>
  <c r="C14" i="17"/>
  <c r="C22" i="24"/>
  <c r="D13" i="23"/>
  <c r="K41" i="15"/>
  <c r="E108" i="14"/>
  <c r="E109" i="14" s="1"/>
  <c r="E96" i="19" l="1"/>
  <c r="F96" i="19" s="1"/>
  <c r="G97" i="19" s="1"/>
  <c r="D49" i="19"/>
  <c r="E49" i="19" s="1"/>
  <c r="F49" i="19" s="1"/>
  <c r="G49" i="19"/>
  <c r="D6" i="23"/>
  <c r="C12" i="24"/>
  <c r="L41" i="15"/>
  <c r="C16" i="17"/>
  <c r="E110" i="14"/>
  <c r="L16" i="24"/>
  <c r="L17" i="23"/>
  <c r="N50" i="11"/>
  <c r="O87" i="10"/>
  <c r="N57" i="10"/>
  <c r="N65" i="10" s="1"/>
  <c r="N66" i="10" s="1"/>
  <c r="O52" i="11"/>
  <c r="O27" i="10"/>
  <c r="O72" i="10" s="1"/>
  <c r="O96" i="8"/>
  <c r="O74" i="11"/>
  <c r="M21" i="24" s="1"/>
  <c r="I13" i="17"/>
  <c r="I17" i="20"/>
  <c r="K17" i="20" s="1"/>
  <c r="N72" i="11"/>
  <c r="L12" i="24"/>
  <c r="N83" i="11"/>
  <c r="N41" i="10"/>
  <c r="N107" i="8"/>
  <c r="N108" i="8" s="1"/>
  <c r="N59" i="11" s="1"/>
  <c r="L13" i="23"/>
  <c r="N57" i="11"/>
  <c r="N106" i="8"/>
  <c r="N16" i="11" s="1"/>
  <c r="C97" i="19" l="1"/>
  <c r="D97" i="19"/>
  <c r="D50" i="19"/>
  <c r="C50" i="19"/>
  <c r="G50" i="19"/>
  <c r="O29" i="10"/>
  <c r="O97" i="8"/>
  <c r="O31" i="10" s="1"/>
  <c r="O71" i="10" s="1"/>
  <c r="O76" i="10" s="1"/>
  <c r="O79" i="10" s="1"/>
  <c r="O98" i="8"/>
  <c r="L13" i="24"/>
  <c r="N75" i="11"/>
  <c r="L22" i="24" s="1"/>
  <c r="I18" i="20"/>
  <c r="K18" i="20" s="1"/>
  <c r="L14" i="23"/>
  <c r="O131" i="8"/>
  <c r="N42" i="10"/>
  <c r="N58" i="11"/>
  <c r="N17" i="11"/>
  <c r="Q22" i="16"/>
  <c r="Q23" i="16" s="1"/>
  <c r="L20" i="24"/>
  <c r="L18" i="23"/>
  <c r="D8" i="23"/>
  <c r="E112" i="14"/>
  <c r="M41" i="15"/>
  <c r="C13" i="24"/>
  <c r="E46" i="20"/>
  <c r="C42" i="20"/>
  <c r="I14" i="17"/>
  <c r="C18" i="17"/>
  <c r="E50" i="19" l="1"/>
  <c r="F50" i="19" s="1"/>
  <c r="C51" i="19" s="1"/>
  <c r="E51" i="19" s="1"/>
  <c r="F51" i="19" s="1"/>
  <c r="E97" i="19"/>
  <c r="F97" i="19" s="1"/>
  <c r="D51" i="19"/>
  <c r="O82" i="10"/>
  <c r="O132" i="8"/>
  <c r="J5" i="17"/>
  <c r="C19" i="17"/>
  <c r="J13" i="17" s="1"/>
  <c r="J7" i="17"/>
  <c r="J11" i="17"/>
  <c r="J8" i="17"/>
  <c r="J9" i="17"/>
  <c r="J6" i="17"/>
  <c r="J10" i="17"/>
  <c r="O32" i="10"/>
  <c r="O99" i="8"/>
  <c r="O100" i="8" s="1"/>
  <c r="O27" i="11"/>
  <c r="C14" i="24"/>
  <c r="D9" i="23"/>
  <c r="E113" i="14"/>
  <c r="G51" i="19" l="1"/>
  <c r="C98" i="19"/>
  <c r="D98" i="19"/>
  <c r="G98" i="19"/>
  <c r="O134" i="8"/>
  <c r="O143" i="8" s="1"/>
  <c r="J14" i="17"/>
  <c r="G52" i="19"/>
  <c r="C52" i="19"/>
  <c r="D52" i="19"/>
  <c r="D10" i="23"/>
  <c r="C15" i="24"/>
  <c r="E114" i="14"/>
  <c r="M11" i="24"/>
  <c r="M12" i="23"/>
  <c r="O82" i="11"/>
  <c r="O34" i="10"/>
  <c r="O35" i="10" s="1"/>
  <c r="O101" i="8"/>
  <c r="O26" i="11" s="1"/>
  <c r="K13" i="17"/>
  <c r="K12" i="17"/>
  <c r="K14" i="17"/>
  <c r="J12" i="17"/>
  <c r="O33" i="10"/>
  <c r="O144" i="8"/>
  <c r="E98" i="19" l="1"/>
  <c r="F98" i="19" s="1"/>
  <c r="O61" i="10"/>
  <c r="O62" i="10"/>
  <c r="E52" i="19"/>
  <c r="F52" i="19" s="1"/>
  <c r="O83" i="10"/>
  <c r="O85" i="10" s="1"/>
  <c r="O88" i="10" s="1"/>
  <c r="O104" i="8"/>
  <c r="O145" i="8"/>
  <c r="O36" i="11" s="1"/>
  <c r="C4" i="24"/>
  <c r="N41" i="15"/>
  <c r="C5" i="24"/>
  <c r="C11" i="24"/>
  <c r="D5" i="23"/>
  <c r="D12" i="1"/>
  <c r="O135" i="8"/>
  <c r="G99" i="19" l="1"/>
  <c r="D99" i="19"/>
  <c r="C99" i="19"/>
  <c r="E99" i="19" s="1"/>
  <c r="F99" i="19" s="1"/>
  <c r="O60" i="11"/>
  <c r="O62" i="11"/>
  <c r="O105" i="8"/>
  <c r="G53" i="19"/>
  <c r="D53" i="19"/>
  <c r="C53" i="19"/>
  <c r="O63" i="10"/>
  <c r="O61" i="11"/>
  <c r="O73" i="11" s="1"/>
  <c r="O53" i="11"/>
  <c r="O55" i="10"/>
  <c r="P94" i="8"/>
  <c r="O137" i="8"/>
  <c r="O51" i="11" s="1"/>
  <c r="O138" i="8"/>
  <c r="G100" i="19" l="1"/>
  <c r="C100" i="19"/>
  <c r="D100" i="19"/>
  <c r="E53" i="19"/>
  <c r="F53" i="19" s="1"/>
  <c r="C54" i="19" s="1"/>
  <c r="P87" i="10"/>
  <c r="O57" i="10"/>
  <c r="O65" i="10" s="1"/>
  <c r="O66" i="10" s="1"/>
  <c r="O89" i="10"/>
  <c r="P27" i="10"/>
  <c r="P72" i="10" s="1"/>
  <c r="P52" i="11"/>
  <c r="P96" i="8"/>
  <c r="P74" i="11"/>
  <c r="N21" i="24" s="1"/>
  <c r="M17" i="23"/>
  <c r="M16" i="24"/>
  <c r="O50" i="11"/>
  <c r="M13" i="23"/>
  <c r="O57" i="11"/>
  <c r="M12" i="24"/>
  <c r="O72" i="11"/>
  <c r="O83" i="11"/>
  <c r="O41" i="10"/>
  <c r="O107" i="8"/>
  <c r="O106" i="8"/>
  <c r="O16" i="11" s="1"/>
  <c r="E100" i="19" l="1"/>
  <c r="F100" i="19" s="1"/>
  <c r="D54" i="19"/>
  <c r="E54" i="19" s="1"/>
  <c r="F54" i="19" s="1"/>
  <c r="G54" i="19"/>
  <c r="M20" i="24"/>
  <c r="M18" i="23"/>
  <c r="M13" i="24"/>
  <c r="M14" i="23"/>
  <c r="O58" i="11"/>
  <c r="O75" i="11"/>
  <c r="M22" i="24" s="1"/>
  <c r="P131" i="8"/>
  <c r="O42" i="10"/>
  <c r="O17" i="11"/>
  <c r="O108" i="8"/>
  <c r="O59" i="11" s="1"/>
  <c r="P29" i="10"/>
  <c r="P97" i="8"/>
  <c r="P31" i="10" s="1"/>
  <c r="P71" i="10" s="1"/>
  <c r="P76" i="10" s="1"/>
  <c r="P79" i="10" s="1"/>
  <c r="G101" i="19" l="1"/>
  <c r="D101" i="19"/>
  <c r="C101" i="19"/>
  <c r="E101" i="19" s="1"/>
  <c r="F101" i="19" s="1"/>
  <c r="G55" i="19"/>
  <c r="C55" i="19"/>
  <c r="D55" i="19"/>
  <c r="P27" i="11"/>
  <c r="P82" i="10"/>
  <c r="P132" i="8"/>
  <c r="P98" i="8"/>
  <c r="G102" i="19" l="1"/>
  <c r="C102" i="19"/>
  <c r="D102" i="19"/>
  <c r="E55" i="19"/>
  <c r="F55" i="19" s="1"/>
  <c r="C56" i="19" s="1"/>
  <c r="P32" i="10"/>
  <c r="P99" i="8"/>
  <c r="P100" i="8" s="1"/>
  <c r="P134" i="8"/>
  <c r="E102" i="19" l="1"/>
  <c r="F102" i="19" s="1"/>
  <c r="G56" i="19"/>
  <c r="D56" i="19"/>
  <c r="E56" i="19" s="1"/>
  <c r="F56" i="19" s="1"/>
  <c r="G57" i="19" s="1"/>
  <c r="N11" i="24"/>
  <c r="N12" i="23"/>
  <c r="P101" i="8"/>
  <c r="P26" i="11" s="1"/>
  <c r="P82" i="11"/>
  <c r="P34" i="10"/>
  <c r="P35" i="10" s="1"/>
  <c r="P143" i="8"/>
  <c r="P145" i="8" s="1"/>
  <c r="P36" i="11" s="1"/>
  <c r="P83" i="10"/>
  <c r="P85" i="10" s="1"/>
  <c r="P88" i="10" s="1"/>
  <c r="P104" i="8"/>
  <c r="P135" i="8"/>
  <c r="P33" i="10"/>
  <c r="P144" i="8"/>
  <c r="D103" i="19" l="1"/>
  <c r="C103" i="19"/>
  <c r="G103" i="19"/>
  <c r="D57" i="19"/>
  <c r="C57" i="19"/>
  <c r="E57" i="19" s="1"/>
  <c r="F57" i="19" s="1"/>
  <c r="D58" i="19" s="1"/>
  <c r="P62" i="10"/>
  <c r="P53" i="11"/>
  <c r="Q94" i="8"/>
  <c r="P137" i="8"/>
  <c r="P51" i="11" s="1"/>
  <c r="P55" i="10"/>
  <c r="P138" i="8"/>
  <c r="P60" i="11"/>
  <c r="P62" i="11"/>
  <c r="P61" i="11"/>
  <c r="P73" i="11" s="1"/>
  <c r="P61" i="10"/>
  <c r="P105" i="8"/>
  <c r="E103" i="19" l="1"/>
  <c r="F103" i="19" s="1"/>
  <c r="D104" i="19" s="1"/>
  <c r="P63" i="10"/>
  <c r="G58" i="19"/>
  <c r="C58" i="19"/>
  <c r="E58" i="19" s="1"/>
  <c r="F58" i="19" s="1"/>
  <c r="C59" i="19" s="1"/>
  <c r="Q87" i="10"/>
  <c r="P57" i="10"/>
  <c r="P89" i="10"/>
  <c r="N17" i="23"/>
  <c r="N16" i="24"/>
  <c r="P50" i="11"/>
  <c r="Q52" i="11"/>
  <c r="Q27" i="10"/>
  <c r="Q72" i="10" s="1"/>
  <c r="Q96" i="8"/>
  <c r="Q74" i="11"/>
  <c r="N13" i="23"/>
  <c r="N12" i="24"/>
  <c r="P72" i="11"/>
  <c r="P83" i="11"/>
  <c r="P41" i="10"/>
  <c r="P57" i="11"/>
  <c r="P107" i="8"/>
  <c r="P106" i="8"/>
  <c r="P16" i="11" s="1"/>
  <c r="G104" i="19" l="1"/>
  <c r="C104" i="19"/>
  <c r="E104" i="19" s="1"/>
  <c r="F104" i="19" s="1"/>
  <c r="P65" i="10"/>
  <c r="P66" i="10" s="1"/>
  <c r="G59" i="19"/>
  <c r="D59" i="19"/>
  <c r="E59" i="19" s="1"/>
  <c r="F59" i="19" s="1"/>
  <c r="G60" i="19" s="1"/>
  <c r="Q29" i="10"/>
  <c r="Q97" i="8"/>
  <c r="Q31" i="10" s="1"/>
  <c r="Q71" i="10" s="1"/>
  <c r="Q76" i="10" s="1"/>
  <c r="Q79" i="10" s="1"/>
  <c r="N18" i="23"/>
  <c r="N20" i="24"/>
  <c r="N13" i="24"/>
  <c r="N14" i="23"/>
  <c r="P75" i="11"/>
  <c r="N22" i="24" s="1"/>
  <c r="P58" i="11"/>
  <c r="P42" i="10"/>
  <c r="Q131" i="8"/>
  <c r="P17" i="11"/>
  <c r="P108" i="8"/>
  <c r="P59" i="11" s="1"/>
  <c r="D105" i="19" l="1"/>
  <c r="C105" i="19"/>
  <c r="G105" i="19"/>
  <c r="Q98" i="8"/>
  <c r="Q32" i="10" s="1"/>
  <c r="D60" i="19"/>
  <c r="C60" i="19"/>
  <c r="Q82" i="10"/>
  <c r="Q132" i="8"/>
  <c r="Q27" i="11"/>
  <c r="E105" i="19" l="1"/>
  <c r="F105" i="19" s="1"/>
  <c r="Q99" i="8"/>
  <c r="E60" i="19"/>
  <c r="F60" i="19" s="1"/>
  <c r="G61" i="19" s="1"/>
  <c r="Q134" i="8"/>
  <c r="Q33" i="10"/>
  <c r="Q144" i="8"/>
  <c r="Q100" i="8"/>
  <c r="G106" i="19" l="1"/>
  <c r="C106" i="19"/>
  <c r="D106" i="19"/>
  <c r="C61" i="19"/>
  <c r="D61" i="19"/>
  <c r="Q83" i="10"/>
  <c r="Q85" i="10" s="1"/>
  <c r="Q88" i="10" s="1"/>
  <c r="Q104" i="8"/>
  <c r="Q105" i="8" s="1"/>
  <c r="Q101" i="8"/>
  <c r="Q26" i="11" s="1"/>
  <c r="Q82" i="11"/>
  <c r="Q34" i="10"/>
  <c r="Q35" i="10" s="1"/>
  <c r="Q143" i="8"/>
  <c r="Q135" i="8"/>
  <c r="Q62" i="10"/>
  <c r="E106" i="19" l="1"/>
  <c r="F106" i="19" s="1"/>
  <c r="E61" i="19"/>
  <c r="F61" i="19" s="1"/>
  <c r="D62" i="19" s="1"/>
  <c r="Q137" i="8"/>
  <c r="Q51" i="11" s="1"/>
  <c r="R94" i="8"/>
  <c r="Q53" i="11"/>
  <c r="Q55" i="10"/>
  <c r="Q89" i="10" s="1"/>
  <c r="Q138" i="8"/>
  <c r="Q50" i="11" s="1"/>
  <c r="Q61" i="11"/>
  <c r="Q73" i="11" s="1"/>
  <c r="Q61" i="10"/>
  <c r="Q63" i="10" s="1"/>
  <c r="Q145" i="8"/>
  <c r="Q36" i="11" s="1"/>
  <c r="Q72" i="11"/>
  <c r="Q57" i="11"/>
  <c r="Q83" i="11"/>
  <c r="Q41" i="10"/>
  <c r="Q107" i="8"/>
  <c r="Q108" i="8" s="1"/>
  <c r="Q59" i="11" s="1"/>
  <c r="Q106" i="8"/>
  <c r="Q16" i="11" s="1"/>
  <c r="Q60" i="11"/>
  <c r="Q62" i="11"/>
  <c r="C107" i="19" l="1"/>
  <c r="D107" i="19"/>
  <c r="G107" i="19"/>
  <c r="G62" i="19"/>
  <c r="C62" i="19"/>
  <c r="E62" i="19" s="1"/>
  <c r="F62" i="19" s="1"/>
  <c r="Q57" i="10"/>
  <c r="Q65" i="10" s="1"/>
  <c r="Q66" i="10" s="1"/>
  <c r="R87" i="10"/>
  <c r="Q75" i="11"/>
  <c r="R131" i="8"/>
  <c r="R82" i="10" s="1"/>
  <c r="Q42" i="10"/>
  <c r="Q58" i="11"/>
  <c r="Q17" i="11"/>
  <c r="R52" i="11"/>
  <c r="R27" i="10"/>
  <c r="R72" i="10" s="1"/>
  <c r="R96" i="8"/>
  <c r="R74" i="11"/>
  <c r="E107" i="19" l="1"/>
  <c r="F107" i="19" s="1"/>
  <c r="D63" i="19"/>
  <c r="G63" i="19"/>
  <c r="C63" i="19"/>
  <c r="R132" i="8"/>
  <c r="R134" i="8" s="1"/>
  <c r="R135" i="8" s="1"/>
  <c r="R29" i="10"/>
  <c r="R97" i="8"/>
  <c r="R31" i="10" s="1"/>
  <c r="R71" i="10" s="1"/>
  <c r="R76" i="10" s="1"/>
  <c r="R79" i="10" s="1"/>
  <c r="E63" i="19" l="1"/>
  <c r="F63" i="19" s="1"/>
  <c r="C64" i="19" s="1"/>
  <c r="D108" i="19"/>
  <c r="C108" i="19"/>
  <c r="E108" i="19" s="1"/>
  <c r="F108" i="19" s="1"/>
  <c r="G108" i="19"/>
  <c r="D64" i="19"/>
  <c r="G64" i="19"/>
  <c r="E64" i="19"/>
  <c r="F64" i="19" s="1"/>
  <c r="R55" i="10"/>
  <c r="R137" i="8"/>
  <c r="R51" i="11" s="1"/>
  <c r="S94" i="8"/>
  <c r="R138" i="8"/>
  <c r="R50" i="11" s="1"/>
  <c r="R98" i="8"/>
  <c r="R83" i="10"/>
  <c r="R85" i="10" s="1"/>
  <c r="R88" i="10" s="1"/>
  <c r="R89" i="10" s="1"/>
  <c r="R104" i="8"/>
  <c r="R62" i="11" s="1"/>
  <c r="R27" i="11"/>
  <c r="C109" i="19" l="1"/>
  <c r="D109" i="19"/>
  <c r="E109" i="19" s="1"/>
  <c r="F109" i="19" s="1"/>
  <c r="G109" i="19"/>
  <c r="D65" i="19"/>
  <c r="G65" i="19"/>
  <c r="C65" i="19"/>
  <c r="R32" i="10"/>
  <c r="R99" i="8"/>
  <c r="S52" i="11"/>
  <c r="S27" i="10"/>
  <c r="S72" i="10" s="1"/>
  <c r="S96" i="8"/>
  <c r="S74" i="11"/>
  <c r="R60" i="11"/>
  <c r="R57" i="10"/>
  <c r="S87" i="10"/>
  <c r="D110" i="19" l="1"/>
  <c r="C110" i="19"/>
  <c r="E110" i="19" s="1"/>
  <c r="F110" i="19" s="1"/>
  <c r="G110" i="19"/>
  <c r="E65" i="19"/>
  <c r="F65" i="19" s="1"/>
  <c r="S97" i="8"/>
  <c r="S31" i="10" s="1"/>
  <c r="S71" i="10" s="1"/>
  <c r="S76" i="10" s="1"/>
  <c r="S79" i="10" s="1"/>
  <c r="S29" i="10"/>
  <c r="R33" i="10"/>
  <c r="R144" i="8"/>
  <c r="R100" i="8"/>
  <c r="C111" i="19" l="1"/>
  <c r="D111" i="19"/>
  <c r="E111" i="19" s="1"/>
  <c r="F111" i="19" s="1"/>
  <c r="G111" i="19"/>
  <c r="S98" i="8"/>
  <c r="S32" i="10" s="1"/>
  <c r="S27" i="11"/>
  <c r="G66" i="19"/>
  <c r="D66" i="19"/>
  <c r="C66" i="19"/>
  <c r="R82" i="11"/>
  <c r="R101" i="8"/>
  <c r="R26" i="11" s="1"/>
  <c r="R105" i="8"/>
  <c r="R34" i="10"/>
  <c r="R35" i="10" s="1"/>
  <c r="R143" i="8"/>
  <c r="R145" i="8" s="1"/>
  <c r="R36" i="11" s="1"/>
  <c r="R62" i="10"/>
  <c r="D112" i="19" l="1"/>
  <c r="G112" i="19"/>
  <c r="C112" i="19"/>
  <c r="E112" i="19" s="1"/>
  <c r="F112" i="19" s="1"/>
  <c r="G113" i="19" s="1"/>
  <c r="S99" i="8"/>
  <c r="S33" i="10" s="1"/>
  <c r="E66" i="19"/>
  <c r="F66" i="19" s="1"/>
  <c r="G67" i="19" s="1"/>
  <c r="S100" i="8"/>
  <c r="S144" i="8"/>
  <c r="S62" i="10" s="1"/>
  <c r="R61" i="11"/>
  <c r="R73" i="11" s="1"/>
  <c r="R61" i="10"/>
  <c r="R63" i="10" s="1"/>
  <c r="R65" i="10" s="1"/>
  <c r="R66" i="10" s="1"/>
  <c r="R53" i="11"/>
  <c r="R57" i="11"/>
  <c r="R72" i="11"/>
  <c r="R107" i="8"/>
  <c r="R108" i="8" s="1"/>
  <c r="R59" i="11" s="1"/>
  <c r="R41" i="10"/>
  <c r="R83" i="11"/>
  <c r="R106" i="8"/>
  <c r="R16" i="11" s="1"/>
  <c r="C113" i="19" l="1"/>
  <c r="D113" i="19"/>
  <c r="E113" i="19"/>
  <c r="F113" i="19" s="1"/>
  <c r="D114" i="19" s="1"/>
  <c r="D67" i="19"/>
  <c r="C67" i="19"/>
  <c r="R58" i="11"/>
  <c r="R75" i="11"/>
  <c r="R42" i="10"/>
  <c r="S131" i="8"/>
  <c r="R17" i="11"/>
  <c r="S82" i="11"/>
  <c r="S34" i="10"/>
  <c r="S35" i="10" s="1"/>
  <c r="S101" i="8"/>
  <c r="S26" i="11" s="1"/>
  <c r="E67" i="19" l="1"/>
  <c r="F67" i="19" s="1"/>
  <c r="C68" i="19" s="1"/>
  <c r="C114" i="19"/>
  <c r="E114" i="19" s="1"/>
  <c r="F114" i="19" s="1"/>
  <c r="G114" i="19"/>
  <c r="S82" i="10"/>
  <c r="S132" i="8"/>
  <c r="D68" i="19" l="1"/>
  <c r="E68" i="19" s="1"/>
  <c r="F68" i="19" s="1"/>
  <c r="G68" i="19"/>
  <c r="D115" i="19"/>
  <c r="C115" i="19"/>
  <c r="G115" i="19"/>
  <c r="S134" i="8"/>
  <c r="D69" i="19" l="1"/>
  <c r="C69" i="19"/>
  <c r="E69" i="19" s="1"/>
  <c r="F69" i="19" s="1"/>
  <c r="G69" i="19"/>
  <c r="E115" i="19"/>
  <c r="F115" i="19" s="1"/>
  <c r="S83" i="10"/>
  <c r="S85" i="10" s="1"/>
  <c r="S88" i="10" s="1"/>
  <c r="S104" i="8"/>
  <c r="S143" i="8"/>
  <c r="S135" i="8"/>
  <c r="D70" i="19" l="1"/>
  <c r="C70" i="19"/>
  <c r="E70" i="19" s="1"/>
  <c r="F70" i="19" s="1"/>
  <c r="C116" i="19"/>
  <c r="G116" i="19"/>
  <c r="D116" i="19"/>
  <c r="G70" i="19"/>
  <c r="S61" i="11"/>
  <c r="S73" i="11" s="1"/>
  <c r="S61" i="10"/>
  <c r="S63" i="10" s="1"/>
  <c r="S145" i="8"/>
  <c r="S60" i="11"/>
  <c r="S62" i="11"/>
  <c r="S105" i="8"/>
  <c r="S53" i="11"/>
  <c r="S137" i="8"/>
  <c r="S51" i="11" s="1"/>
  <c r="S55" i="10"/>
  <c r="S57" i="10" s="1"/>
  <c r="S138" i="8"/>
  <c r="S50" i="11" s="1"/>
  <c r="C28" i="13"/>
  <c r="D29" i="25" s="1"/>
  <c r="E29" i="25" s="1"/>
  <c r="E116" i="19" l="1"/>
  <c r="F116" i="19" s="1"/>
  <c r="G117" i="19" s="1"/>
  <c r="S65" i="10"/>
  <c r="S66" i="10" s="1"/>
  <c r="D11" i="25" s="1"/>
  <c r="E11" i="25" s="1"/>
  <c r="G71" i="19"/>
  <c r="D71" i="19"/>
  <c r="C71" i="19"/>
  <c r="S89" i="10"/>
  <c r="D12" i="25" s="1"/>
  <c r="E12" i="25" s="1"/>
  <c r="S57" i="11"/>
  <c r="S107" i="8"/>
  <c r="S108" i="8" s="1"/>
  <c r="S41" i="10"/>
  <c r="S83" i="11"/>
  <c r="S72" i="11"/>
  <c r="S106" i="8"/>
  <c r="S16" i="11" s="1"/>
  <c r="S36" i="11"/>
  <c r="D117" i="19" l="1"/>
  <c r="C117" i="19"/>
  <c r="E71" i="19"/>
  <c r="F71" i="19" s="1"/>
  <c r="D72" i="19" s="1"/>
  <c r="S59" i="11"/>
  <c r="S58" i="11"/>
  <c r="S42" i="10"/>
  <c r="S75" i="11"/>
  <c r="S17" i="11"/>
  <c r="E117" i="19" l="1"/>
  <c r="F117" i="19" s="1"/>
  <c r="C118" i="19" s="1"/>
  <c r="G72" i="19"/>
  <c r="C72" i="19"/>
  <c r="E72" i="19" s="1"/>
  <c r="F72" i="19" s="1"/>
  <c r="D118" i="19" l="1"/>
  <c r="E118" i="19" s="1"/>
  <c r="F118" i="19" s="1"/>
  <c r="D119" i="19" s="1"/>
  <c r="G118" i="19"/>
  <c r="G73" i="19"/>
  <c r="C73" i="19"/>
  <c r="D73" i="19"/>
  <c r="G119" i="19" l="1"/>
  <c r="C119" i="19"/>
  <c r="E119" i="19" s="1"/>
  <c r="F119" i="19" s="1"/>
  <c r="G120" i="19" s="1"/>
  <c r="E73" i="19"/>
  <c r="F73" i="19" s="1"/>
  <c r="C74" i="19" s="1"/>
  <c r="D120" i="19" l="1"/>
  <c r="C120" i="19"/>
  <c r="E120" i="19" s="1"/>
  <c r="F120" i="19" s="1"/>
  <c r="D121" i="19" s="1"/>
  <c r="G74" i="19"/>
  <c r="D74" i="19"/>
  <c r="E74" i="19" s="1"/>
  <c r="F74" i="19" s="1"/>
  <c r="G75" i="19" s="1"/>
  <c r="G121" i="19" l="1"/>
  <c r="C121" i="19"/>
  <c r="E121" i="19" s="1"/>
  <c r="F121" i="19" s="1"/>
  <c r="D122" i="19" s="1"/>
  <c r="D75" i="19"/>
  <c r="C75" i="19"/>
  <c r="E75" i="19" l="1"/>
  <c r="F75" i="19" s="1"/>
  <c r="G76" i="19" s="1"/>
  <c r="G122" i="19"/>
  <c r="C122" i="19"/>
  <c r="E122" i="19" s="1"/>
  <c r="F122" i="19" s="1"/>
  <c r="D123" i="19" s="1"/>
  <c r="G123" i="19" l="1"/>
  <c r="C123" i="19"/>
  <c r="E123" i="19" s="1"/>
  <c r="F123" i="19" s="1"/>
  <c r="G124" i="19" s="1"/>
  <c r="D76" i="19"/>
  <c r="C76" i="19"/>
  <c r="E76" i="19" l="1"/>
  <c r="F76" i="19" s="1"/>
  <c r="D124" i="19"/>
  <c r="C124" i="19"/>
  <c r="E124" i="19" s="1"/>
  <c r="F124" i="19" s="1"/>
  <c r="D77" i="19" l="1"/>
  <c r="C77" i="19"/>
  <c r="E77" i="19" s="1"/>
  <c r="F77" i="19" s="1"/>
  <c r="D78" i="19" s="1"/>
  <c r="G77" i="19"/>
  <c r="C125" i="19"/>
  <c r="D125" i="19"/>
  <c r="G125" i="19"/>
  <c r="C78" i="19" l="1"/>
  <c r="E78" i="19" s="1"/>
  <c r="F78" i="19" s="1"/>
  <c r="G78" i="19"/>
  <c r="E125" i="19"/>
  <c r="F125" i="19" s="1"/>
  <c r="D126" i="19" s="1"/>
  <c r="D79" i="19"/>
  <c r="G79" i="19"/>
  <c r="C79" i="19"/>
  <c r="C126" i="19" l="1"/>
  <c r="E126" i="19" s="1"/>
  <c r="F126" i="19" s="1"/>
  <c r="G126" i="19"/>
  <c r="E79" i="19"/>
  <c r="F79" i="19" s="1"/>
  <c r="D127" i="19" l="1"/>
  <c r="G80" i="19"/>
  <c r="D80" i="19"/>
  <c r="C80" i="19"/>
  <c r="G127" i="19"/>
  <c r="C127" i="19"/>
  <c r="E127" i="19" l="1"/>
  <c r="F127" i="19" s="1"/>
  <c r="D128" i="19" s="1"/>
  <c r="E80" i="19"/>
  <c r="F80" i="19" s="1"/>
  <c r="D81" i="19" s="1"/>
  <c r="G128" i="19" l="1"/>
  <c r="C128" i="19"/>
  <c r="G81" i="19"/>
  <c r="C81" i="19"/>
  <c r="E81" i="19" s="1"/>
  <c r="F81" i="19" s="1"/>
  <c r="E128" i="19"/>
  <c r="F128" i="19" s="1"/>
  <c r="G82" i="19" l="1"/>
  <c r="D82" i="19"/>
  <c r="C82" i="19"/>
  <c r="E82" i="19" s="1"/>
  <c r="F82" i="19" s="1"/>
  <c r="D129" i="19"/>
  <c r="G129" i="19"/>
  <c r="C129" i="19"/>
  <c r="E129" i="19" s="1"/>
  <c r="F129" i="19" s="1"/>
  <c r="G83" i="19" l="1"/>
  <c r="D83" i="19"/>
  <c r="C83" i="19"/>
  <c r="G130" i="19"/>
  <c r="D130" i="19"/>
  <c r="C130" i="19"/>
  <c r="E130" i="19" s="1"/>
  <c r="E83" i="19" l="1"/>
  <c r="C84" i="19" s="1"/>
  <c r="C10" i="19" s="1"/>
  <c r="F130" i="19"/>
  <c r="C131" i="19"/>
  <c r="C11" i="19" s="1"/>
  <c r="F83" i="19" l="1"/>
  <c r="C39" i="24"/>
  <c r="E10" i="19"/>
  <c r="E11" i="19"/>
  <c r="B20" i="19"/>
  <c r="D13" i="25"/>
  <c r="E13" i="25" s="1"/>
  <c r="D33" i="25"/>
  <c r="E33" i="25" s="1"/>
  <c r="D4" i="25" l="1"/>
  <c r="D3" i="25"/>
  <c r="D23" i="23" l="1"/>
  <c r="D13" i="1"/>
</calcChain>
</file>

<file path=xl/sharedStrings.xml><?xml version="1.0" encoding="utf-8"?>
<sst xmlns="http://schemas.openxmlformats.org/spreadsheetml/2006/main" count="2001" uniqueCount="1112">
  <si>
    <t>DCF Valuation Model</t>
  </si>
  <si>
    <t>All company data in this file is FICTIONAL example data – replace the blue inputs with your case data.</t>
  </si>
  <si>
    <t>Model map (click a sheet name to open it)</t>
  </si>
  <si>
    <t>Colour legend</t>
  </si>
  <si>
    <t>Guide</t>
  </si>
  <si>
    <t>How to use</t>
  </si>
  <si>
    <t>Step-by-step guide, method notes and mapping of Pareto case data</t>
  </si>
  <si>
    <t>1,234</t>
  </si>
  <si>
    <t>Hard-coded input (blue)</t>
  </si>
  <si>
    <t>INPUTS</t>
  </si>
  <si>
    <t>Everything you type lives here. Blue figures are hard-coded inputs; yellow cells are forecast assumptions.</t>
  </si>
  <si>
    <t>Forecast assumption / switch (blue on yellow)</t>
  </si>
  <si>
    <t>Inputs</t>
  </si>
  <si>
    <t>General inputs</t>
  </si>
  <si>
    <t>Company info, timeline, market data, net debt bridge and valuation settings</t>
  </si>
  <si>
    <t>Formula (black)</t>
  </si>
  <si>
    <t>Hist</t>
  </si>
  <si>
    <t>As reported</t>
  </si>
  <si>
    <t>Seven years of reported income statement, balance sheet, cash flow and KPIs</t>
  </si>
  <si>
    <t>Direct link to another sheet (green)</t>
  </si>
  <si>
    <t>Drivers</t>
  </si>
  <si>
    <t>Assumptions cockpit</t>
  </si>
  <si>
    <t>Forecast drivers per year, Bear/Base/Bull adjustments, terminal assumptions, cost structure and capital allocation</t>
  </si>
  <si>
    <t>Key line / key output (light blue)</t>
  </si>
  <si>
    <t>CALCULATIONS</t>
  </si>
  <si>
    <t>The calculation engine. No inputs except known one-off items.</t>
  </si>
  <si>
    <t>0.0</t>
  </si>
  <si>
    <t>Integrity check – should be zero (grey italic)</t>
  </si>
  <si>
    <t>Model</t>
  </si>
  <si>
    <t>Operating model</t>
  </si>
  <si>
    <t>Revenue build (locations or volume x price), earnings build, investments, free cash flow and financing</t>
  </si>
  <si>
    <t>OUTPUT</t>
  </si>
  <si>
    <t>Link-only presentation of the results – what you would show in a report.</t>
  </si>
  <si>
    <t>Sign convention: income positive, costs negative.</t>
  </si>
  <si>
    <t>Output</t>
  </si>
  <si>
    <t>Financial statements</t>
  </si>
  <si>
    <t>Income statement, balance sheet (capital employed) and cash flow with integrity checks</t>
  </si>
  <si>
    <t>Units: NOKm unless stated; per share in NOK.</t>
  </si>
  <si>
    <t>Analysis</t>
  </si>
  <si>
    <t>Financial analysis</t>
  </si>
  <si>
    <t>Growth, margins, ROIC vs. WACC, leverage, per-share data and valuation multiples</t>
  </si>
  <si>
    <t>Historicals have grey year headers, forecasts navy.</t>
  </si>
  <si>
    <t>VALUATION</t>
  </si>
  <si>
    <t>From cost of capital to target price, cross-checked with peers.</t>
  </si>
  <si>
    <t>Explanations sit in the Notes column on each sheet.</t>
  </si>
  <si>
    <t>WACC</t>
  </si>
  <si>
    <t>Cost of capital</t>
  </si>
  <si>
    <t>CAPM with peer-based beta, cost of debt and target capital structure</t>
  </si>
  <si>
    <t>DCF</t>
  </si>
  <si>
    <t>DCF valuation</t>
  </si>
  <si>
    <t>FCFF, stub period and mid-year discounting, terminal value, equity bridge and target price</t>
  </si>
  <si>
    <t>Sensitivity</t>
  </si>
  <si>
    <t>Sensitivity &amp; scenarios</t>
  </si>
  <si>
    <t>WACC vs. growth, WACC vs. exit multiple, growth vs. margin and Bear/Base/Bull</t>
  </si>
  <si>
    <t>Comps</t>
  </si>
  <si>
    <t>Trading multiples</t>
  </si>
  <si>
    <t>Peer group statistics and implied value per share</t>
  </si>
  <si>
    <t>Football</t>
  </si>
  <si>
    <t>Football field</t>
  </si>
  <si>
    <t>Valuation summary across all methods, with chart</t>
  </si>
  <si>
    <t>MARKET VIEW</t>
  </si>
  <si>
    <t>What the share price implies, where we differ from consensus – and what would prove us wrong.</t>
  </si>
  <si>
    <t>Reverse_DCF</t>
  </si>
  <si>
    <t>Reverse DCF</t>
  </si>
  <si>
    <t>Market-implied EBIT margin, growth, WACC and terminal growth at today's share price</t>
  </si>
  <si>
    <t>Consensus</t>
  </si>
  <si>
    <t>Consensus vs. our estimates</t>
  </si>
  <si>
    <t>Consensus inputs, our estimates vs. consensus and our variant perception</t>
  </si>
  <si>
    <t>Thesis</t>
  </si>
  <si>
    <t>Thesis tracker</t>
  </si>
  <si>
    <t>Scenario stories, signposts and kill criteria with a live status</t>
  </si>
  <si>
    <t>SUMMARY</t>
  </si>
  <si>
    <t>One-page overview, numbers for the pitch deck and the model health check.</t>
  </si>
  <si>
    <t>Dashboard</t>
  </si>
  <si>
    <t>Recommendation, key financials and charts on one page</t>
  </si>
  <si>
    <t>Deck_Feed</t>
  </si>
  <si>
    <t>Deck feed</t>
  </si>
  <si>
    <t>Numbers and text lines ready to paste into the pitch deck</t>
  </si>
  <si>
    <t>Checks</t>
  </si>
  <si>
    <t>Integrity checks</t>
  </si>
  <si>
    <t>All checks must be OK before the model is submitted</t>
  </si>
  <si>
    <t>Version 3.0 – September 2026 · data set: Example Company ASA. Recalculate fully (Ctrl+Alt+F9) after pasting new data; press F9 to refresh data tables.</t>
  </si>
  <si>
    <t>How to use the model – 8 steps</t>
  </si>
  <si>
    <t>1</t>
  </si>
  <si>
    <t>Inputs: company name, ticker, first historical year, valuation date, share price, shares, and net debt from the latest quarterly report.</t>
  </si>
  <si>
    <t>2</t>
  </si>
  <si>
    <t>Hist: paste seven years of reported figures. Costs are negative numbers. Map Pareto's 'Model' sheet lines using the table below.</t>
  </si>
  <si>
    <t>3</t>
  </si>
  <si>
    <t>Check the Hist balance check and cash flow check rows (should be zero) before moving on.</t>
  </si>
  <si>
    <t>4</t>
  </si>
  <si>
    <t>Choose the revenue build on Inputs (1 = segments, 2 = locations). Drivers (section A): price/mix growth per segment, then either volume growth (segment mode) or like-for-like growth, net new locations and capex per new location (location mode); the variable cost ratios, cost inflation, maintenance capex, NWC and tax per year. Rows the active build does not use are greyed out.</t>
  </si>
  <si>
    <t>5</t>
  </si>
  <si>
    <t>Drivers (section B/D/E/F): Bear/Bull adjustments and probabilities, terminal assumptions (g, RONIC, exit multiple), the fixed and central share of costs, capital allocation (target leverage, buybacks) and the ramp-up curve for new locations.</t>
  </si>
  <si>
    <t>6</t>
  </si>
  <si>
    <t>WACC: update risk-free rate, equity risk premium and peer betas. Comps: paste the peer table from the case material.</t>
  </si>
  <si>
    <t>7</t>
  </si>
  <si>
    <t>Review Output (the balance sheet and cash flow checks must be zero), Analysis, Dashboard, Sensitivity and Football. Resolve every ERROR on Checks and be ready to explain each WARNING.</t>
  </si>
  <si>
    <t>8</t>
  </si>
  <si>
    <t>Set the scenario back to Base, then copy numbers from Deck_Feed into the pitch deck.</t>
  </si>
  <si>
    <t>How the workbook is organised</t>
  </si>
  <si>
    <t>•</t>
  </si>
  <si>
    <t>Inputs &gt;&gt;&gt; (Inputs, Hist, Drivers) is the only place you type. Calculations &gt;&gt;&gt; (Model) is the engine. Output &gt;&gt;&gt; (Output, Analysis) presents the results link-only. Valuation &gt;&gt;&gt; (WACC, DCF, Sensitivity, Comps, Football) values the company. Summary &gt;&gt;&gt; (Dashboard, Deck_Feed, Checks) wraps it up.</t>
  </si>
  <si>
    <t>Blue = hard-coded input, blue on yellow = forecast assumption or switch, black = formula, green = link to another sheet, light blue row = key line, grey italic = check.</t>
  </si>
  <si>
    <t>Method notes</t>
  </si>
  <si>
    <t>FCFF is on a pre-IFRS 16 basis: lease payments are treated as operating costs (EBITDAaL). Lease liabilities are therefore NOT deducted in the equity bridge. This avoids the classic mismatch of IFRS 16 EBITDA margins in history vs. pre-IFRS 16 margins in the forecast.</t>
  </si>
  <si>
    <t>Stub period: only the remaining share of the first forecast year is valued; cash flows are discounted from the valuation date (mid-year convention optional).</t>
  </si>
  <si>
    <t>Terminal value uses the value-driver formula: FCFF = NOPAT x (1 – g / RONIC). This forces reinvestment consistent with growth. With RONIC = WACC, growth adds no value.</t>
  </si>
  <si>
    <t>Growth is paid for: capex = maintenance capex + growth capex. Location mode: openings x capex per new location; segment mode: incremental revenue / sales-to-capital. The DCF sanity checks compare the return on new capital in the explicit period with the higher of today's ROIC and the terminal RONIC – a forecast that grows almost for free is flagged.</t>
  </si>
  <si>
    <t>Location engine (revenue build 2): volume = mature-equivalent locations x volume per mature location. New locations ramp up over three years (Drivers F); volume per location grows with like-for-like growth. Fixed costs grow with inflation and the number of locations (except the central share) and rent per location grows with inflation – so openings dilute margins at first and add to them as they mature.</t>
  </si>
  <si>
    <t>Operating leverage is a result, not an input: personnel and other opex are split into a fixed part (grows with cost inflation and capacity) and a variable part (% of revenue). Margin expansion therefore follows from the growth you assume.</t>
  </si>
  <si>
    <t>Capital structure: the WACC uses either a target D/(D+E) or the average modelled from the forecast balance sheet. With the buyback switch on, cash above the target leverage is returned so the forecast structure stays close to the WACC assumption; a gap above 10pp is flagged.</t>
  </si>
  <si>
    <t>Target price = blended fair value (DCF and peers) rolled forward 12 months at the cost of equity, less the expected dividend. Rating: BUY only if the expected total return exceeds the cost of equity by the threshold on Inputs – a fairly priced share returns Ke, not zero.</t>
  </si>
  <si>
    <t>The football field shows values today (fair value marker). The 12-month target price is drawn separately because it is rolled forward at the cost of equity and is not comparable with the ranges.</t>
  </si>
  <si>
    <t>Reverse_DCF solves the DCF for today's share price: the EBIT margin (exact closed form – the DCF is linear in a uniform margin shift), growth (interpolated in Sensitivity table 5, a data table), WACC and terminal growth (bisection on the closed-form DCF). Use it to say what the market prices in – and where you differ.</t>
  </si>
  <si>
    <t>Consensus: type the latest consensus (reported IFRS 16 basis) and your variant perception – topic, our view, consensus view, evidence and the catalyst that proves it. Thesis: scenario stories and kill criteria with a live status on the latest actuals.</t>
  </si>
  <si>
    <t>Sensitivity tables 1-2 are live formulas. Tables 3-4 are Excel data tables – if they look stale, press F9 (File &gt; Options &gt; Formulas &gt; Automatic).</t>
  </si>
  <si>
    <t>Interest in the forecast is calculated on opening net debt, so the model has no circular references.</t>
  </si>
  <si>
    <t>Mapping Pareto case data ('Model' sheet) to Hist</t>
  </si>
  <si>
    <t>Revenues / Membership fees / Other</t>
  </si>
  <si>
    <t>Revenue – segment A/B/C (use A only if there is no split)</t>
  </si>
  <si>
    <t>COGS</t>
  </si>
  <si>
    <t>Cost of goods sold (negative)</t>
  </si>
  <si>
    <t>Salaries and personnel costs</t>
  </si>
  <si>
    <t>Personnel expenses (negative)</t>
  </si>
  <si>
    <t>Other expenses / Operating expenses</t>
  </si>
  <si>
    <t>Other operating expenses (negative)</t>
  </si>
  <si>
    <t>Depreciation &amp; amortization</t>
  </si>
  <si>
    <t>D&amp;A – owned assets + Depreciation – right-of-use assets (split using the lease note)</t>
  </si>
  <si>
    <t>Impairments</t>
  </si>
  <si>
    <t>Impairments and special items</t>
  </si>
  <si>
    <t>Net interest / Financial income + expenses</t>
  </si>
  <si>
    <t>Net financial items excl. leases + Interest on lease liabilities</t>
  </si>
  <si>
    <t>Tax expense</t>
  </si>
  <si>
    <t>Income tax (negative)</t>
  </si>
  <si>
    <t>Non-controlling interest</t>
  </si>
  <si>
    <t>Minority interests (negative)</t>
  </si>
  <si>
    <t>Installments + interests on lease liabilities / Rent payments</t>
  </si>
  <si>
    <t>Lease payments, total (negative)</t>
  </si>
  <si>
    <t>Balance sheet lines</t>
  </si>
  <si>
    <t>Same names on Hist – put anything else in 'Other' lines so totals match</t>
  </si>
  <si>
    <t>Members / FTEs / Clubs / Stores</t>
  </si>
  <si>
    <t>Volume KPIs and Locations per segment</t>
  </si>
  <si>
    <t>Number of shares outstanding / DPS</t>
  </si>
  <si>
    <t>Shares outstanding, Dividend per share</t>
  </si>
  <si>
    <t>Peer table (EV/Sales, EV/EBITDA, EV/EBIT, P/E for three years)</t>
  </si>
  <si>
    <t>Comps rows 6-13</t>
  </si>
  <si>
    <t>Financial Model</t>
  </si>
  <si>
    <t>← Back to cover</t>
  </si>
  <si>
    <t>Inputs &amp; settings</t>
  </si>
  <si>
    <t>Blue cells on a yellow background are inputs. Start here.</t>
  </si>
  <si>
    <t>1. Company information</t>
  </si>
  <si>
    <t>Lists</t>
  </si>
  <si>
    <t>Company name</t>
  </si>
  <si>
    <t>Example Company ASA</t>
  </si>
  <si>
    <t>Used in all headers</t>
  </si>
  <si>
    <t>Bear</t>
  </si>
  <si>
    <t>Ticker</t>
  </si>
  <si>
    <t>EXMPL</t>
  </si>
  <si>
    <t>Base</t>
  </si>
  <si>
    <t>Exchange</t>
  </si>
  <si>
    <t>Oslo Børs</t>
  </si>
  <si>
    <t>Bull</t>
  </si>
  <si>
    <t>Sector</t>
  </si>
  <si>
    <t>Consumer services</t>
  </si>
  <si>
    <t>Reporting currency</t>
  </si>
  <si>
    <t>NOK</t>
  </si>
  <si>
    <t>Reporting unit</t>
  </si>
  <si>
    <t>NOKm</t>
  </si>
  <si>
    <t>All financial figures are in this unit</t>
  </si>
  <si>
    <t>Case team / analyst</t>
  </si>
  <si>
    <t>[Case team name]</t>
  </si>
  <si>
    <t>Model date</t>
  </si>
  <si>
    <t>2. Timeline</t>
  </si>
  <si>
    <t>First historical year</t>
  </si>
  <si>
    <t>Seven historical years: first year + 6</t>
  </si>
  <si>
    <t>Last actual year</t>
  </si>
  <si>
    <t>First forecast year</t>
  </si>
  <si>
    <t>Last explicit forecast year</t>
  </si>
  <si>
    <t>Eight explicit forecast years, then terminal value</t>
  </si>
  <si>
    <t>Valuation date</t>
  </si>
  <si>
    <t>Normally the share price date</t>
  </si>
  <si>
    <t>Fiscal year end, first forecast year</t>
  </si>
  <si>
    <t>Assumes December year end</t>
  </si>
  <si>
    <t>Share of first forecast year remaining</t>
  </si>
  <si>
    <t>Only this share of the first year's FCFF is valued (stub period)</t>
  </si>
  <si>
    <t>3. Market data</t>
  </si>
  <si>
    <t>Share price</t>
  </si>
  <si>
    <t>Source: Oslo Børs / Bloomberg – update</t>
  </si>
  <si>
    <t>Share price date</t>
  </si>
  <si>
    <t>Shares outstanding</t>
  </si>
  <si>
    <t>m</t>
  </si>
  <si>
    <t>Excl. treasury shares</t>
  </si>
  <si>
    <t>Dilutive instruments (options, RSUs)</t>
  </si>
  <si>
    <t>Treasury-stock method or face value</t>
  </si>
  <si>
    <t>Diluted shares</t>
  </si>
  <si>
    <t>Market capitalisation</t>
  </si>
  <si>
    <t>52-week high</t>
  </si>
  <si>
    <t>52-week low</t>
  </si>
  <si>
    <t>Consensus target price (optional)</t>
  </si>
  <si>
    <t>Bloomberg consensus, if provided in the case material</t>
  </si>
  <si>
    <t>4. Net debt and EV bridge (latest reported balance sheet)</t>
  </si>
  <si>
    <t>Balance sheet date</t>
  </si>
  <si>
    <t>Latest quarterly report</t>
  </si>
  <si>
    <t>Interest-bearing debt</t>
  </si>
  <si>
    <t>Excl. lease liabilities</t>
  </si>
  <si>
    <t>Cash and cash equivalents</t>
  </si>
  <si>
    <t>Net interest-bearing debt excl. leases</t>
  </si>
  <si>
    <t>Lease liabilities (IFRS 16)</t>
  </si>
  <si>
    <t>Not deducted in the DCF: FCFF is after lease payments (pre-IFRS 16)</t>
  </si>
  <si>
    <t>Minority interests</t>
  </si>
  <si>
    <t>Book value, or market value if available</t>
  </si>
  <si>
    <t>Associates and financial investments</t>
  </si>
  <si>
    <t>Non-operating assets not captured by FCFF</t>
  </si>
  <si>
    <t>Pension deficit and other debt-like items</t>
  </si>
  <si>
    <t>Other adjustments (+ adds to equity value)</t>
  </si>
  <si>
    <t>Enterprise value at current price, excl. leases</t>
  </si>
  <si>
    <t>Enterprise value at current price, incl. leases</t>
  </si>
  <si>
    <t>5. Valuation settings</t>
  </si>
  <si>
    <t>Active scenario</t>
  </si>
  <si>
    <t>Drop-down: Bear / Base / Bull</t>
  </si>
  <si>
    <t>Scenario index (1 = Bear, 2 = Base, 3 = Bull)</t>
  </si>
  <si>
    <t>Data tables on the Sensitivity sheet override this temporarily</t>
  </si>
  <si>
    <t>Mid-year discounting (1 = on, 0 = off)</t>
  </si>
  <si>
    <t>Cash flows assumed to arrive evenly through the year</t>
  </si>
  <si>
    <t>Terminal value weight – Gordon growth</t>
  </si>
  <si>
    <t>Recommended: 100% Gordon, exit multiple as a cross-check</t>
  </si>
  <si>
    <t>Terminal value weight – exit multiple</t>
  </si>
  <si>
    <t>Terminal FCFF (1 = value driver / RONIC, 2 = last FCFF x (1+g))</t>
  </si>
  <si>
    <t>Value driver: FCFF = NOPAT x (1 - g / RONIC) – avoids too little reinvestment</t>
  </si>
  <si>
    <t>Target price weight – DCF</t>
  </si>
  <si>
    <t>Target price weight – peer multiples</t>
  </si>
  <si>
    <t>Roll forward to 12-month target price (1 = yes)</t>
  </si>
  <si>
    <t>TP = fair value x (1 + cost of equity) - dividend next 12m</t>
  </si>
  <si>
    <t>Round target price to nearest</t>
  </si>
  <si>
    <t>BUY if expected total return exceeds the cost of equity by at least</t>
  </si>
  <si>
    <t>A fairly priced share is expected to return its cost of equity – only the excess justifies a BUY</t>
  </si>
  <si>
    <t>SELL if expected total return falls short of the cost of equity by at least</t>
  </si>
  <si>
    <t>Entered as a negative number. HOLD in between</t>
  </si>
  <si>
    <t>Max ratio: explicit-period return on new capital / the higher of today's ROIC and the terminal RONIC</t>
  </si>
  <si>
    <t>Sanity check on the DCF sheet: growth must be paid for with capex and NWC. Price increases on existing locations need no capital</t>
  </si>
  <si>
    <t>Max volume per mature location above the historical peak (location mode)</t>
  </si>
  <si>
    <t>Utilisation check: like-for-like growth cannot fill locations far beyond anything seen historically</t>
  </si>
  <si>
    <t>Peer multiples include lease liabilities in EV (1 = yes)</t>
  </si>
  <si>
    <t>1 = IFRS 16 basis (typical for Bloomberg consensus). Controls company metrics and EV bridge</t>
  </si>
  <si>
    <t>Forecast year used for peer valuation (1 or 2)</t>
  </si>
  <si>
    <t>1 = first forecast year, 2 = second forecast year</t>
  </si>
  <si>
    <t>6. Revenue build and labels</t>
  </si>
  <si>
    <t>Revenue build (1 = segments: volume growth x price/mix, 2 = locations: like-for-like + new locations)</t>
  </si>
  <si>
    <t>Location mode ties revenue, fixed costs, rent and growth capex to the number of locations (Drivers A, E and F)</t>
  </si>
  <si>
    <t>Segment A name</t>
  </si>
  <si>
    <t>Norway</t>
  </si>
  <si>
    <t>Segment B name</t>
  </si>
  <si>
    <t>Sweden</t>
  </si>
  <si>
    <t>Segment C name</t>
  </si>
  <si>
    <t>Denmark &amp; Finland</t>
  </si>
  <si>
    <t>Volume KPI (unit)</t>
  </si>
  <si>
    <t>Customers ('000)</t>
  </si>
  <si>
    <t>E.g. members, FTEs, stores, tonnes</t>
  </si>
  <si>
    <t>Normalised tax rate (historical NOPAT)</t>
  </si>
  <si>
    <t>Norwegian corporate tax rate</t>
  </si>
  <si>
    <t>Historical financials</t>
  </si>
  <si>
    <t>Paste reported figures into the blue cells (costs as negative numbers). Subtotals and ratios are calculated.</t>
  </si>
  <si>
    <t>Historicals</t>
  </si>
  <si>
    <t>Income statement</t>
  </si>
  <si>
    <t>Total revenue</t>
  </si>
  <si>
    <t>Cost of goods sold</t>
  </si>
  <si>
    <t>Gross profit</t>
  </si>
  <si>
    <t>Personnel expenses</t>
  </si>
  <si>
    <t>Other operating expenses</t>
  </si>
  <si>
    <t>EBITDA (reported, IFRS 16)</t>
  </si>
  <si>
    <t>D&amp;A – owned assets</t>
  </si>
  <si>
    <t>Depreciation – right-of-use assets</t>
  </si>
  <si>
    <t>EBIT (reported)</t>
  </si>
  <si>
    <t>Net financial items excl. leases</t>
  </si>
  <si>
    <t>Interest on lease liabilities</t>
  </si>
  <si>
    <t>Profit before tax</t>
  </si>
  <si>
    <t>Income tax</t>
  </si>
  <si>
    <t>Net profit</t>
  </si>
  <si>
    <t>Net profit to shareholders</t>
  </si>
  <si>
    <t>IFRS 16 adjustment and adjusted earnings</t>
  </si>
  <si>
    <t>Lease payments, total (from cash flow statement)</t>
  </si>
  <si>
    <t>Principal + interest. Enter as a negative number</t>
  </si>
  <si>
    <t>EBITDAaL – EBITDA after leases (pre-IFRS 16)</t>
  </si>
  <si>
    <t>EBIT adj. (pre-IFRS 16, excl. special items)</t>
  </si>
  <si>
    <t>Balance sheet</t>
  </si>
  <si>
    <t>Goodwill</t>
  </si>
  <si>
    <t>Other intangible assets</t>
  </si>
  <si>
    <t>Property, plant and equipment</t>
  </si>
  <si>
    <t>Right-of-use assets</t>
  </si>
  <si>
    <t>Other non-current assets</t>
  </si>
  <si>
    <t>Inventories</t>
  </si>
  <si>
    <t>Trade receivables</t>
  </si>
  <si>
    <t>Other current assets</t>
  </si>
  <si>
    <t>Total assets</t>
  </si>
  <si>
    <t>Equity to shareholders</t>
  </si>
  <si>
    <t>Total equity</t>
  </si>
  <si>
    <t>Interest-bearing debt – non-current</t>
  </si>
  <si>
    <t>Interest-bearing debt – current</t>
  </si>
  <si>
    <t>Lease liabilities – non-current</t>
  </si>
  <si>
    <t>Lease liabilities – current</t>
  </si>
  <si>
    <t>Deferred tax and other non-current liabilities</t>
  </si>
  <si>
    <t>Trade payables</t>
  </si>
  <si>
    <t>Other current liabilities (incl. deferred revenue)</t>
  </si>
  <si>
    <t>Total equity and liabilities</t>
  </si>
  <si>
    <t>Balance check (should be zero)</t>
  </si>
  <si>
    <t>Cash flow statement (condensed)</t>
  </si>
  <si>
    <t>Cash flow from operations (excl. lease payments)</t>
  </si>
  <si>
    <t>Capital expenditure</t>
  </si>
  <si>
    <t>Acquisitions and disposals</t>
  </si>
  <si>
    <t>Lease payments</t>
  </si>
  <si>
    <t>Dividends paid</t>
  </si>
  <si>
    <t>Net change in debt and other financing</t>
  </si>
  <si>
    <t>Net change in cash</t>
  </si>
  <si>
    <t>Cash flow vs. balance sheet (should be zero)</t>
  </si>
  <si>
    <t>KPIs and per-share data</t>
  </si>
  <si>
    <t>#</t>
  </si>
  <si>
    <t>Number of locations</t>
  </si>
  <si>
    <t>Full-time employees (FTEs)</t>
  </si>
  <si>
    <t>Shares outstanding, year-end</t>
  </si>
  <si>
    <t>Dividend per share (for the fiscal year)</t>
  </si>
  <si>
    <t>Share price, year-end</t>
  </si>
  <si>
    <t>Key ratios (calculated – used as reference for the forecast)</t>
  </si>
  <si>
    <t>Revenue growth</t>
  </si>
  <si>
    <t>%</t>
  </si>
  <si>
    <t>NOK '000</t>
  </si>
  <si>
    <t>Gross margin</t>
  </si>
  <si>
    <t>COGS in % of revenue</t>
  </si>
  <si>
    <t>Personnel expenses in % of revenue</t>
  </si>
  <si>
    <t>Other opex in % of revenue</t>
  </si>
  <si>
    <t>EBITDA margin (reported)</t>
  </si>
  <si>
    <t>Lease payments in % of revenue</t>
  </si>
  <si>
    <t>EBITDAaL margin</t>
  </si>
  <si>
    <t>D&amp;A (owned assets) in % of revenue</t>
  </si>
  <si>
    <t>EBIT adj. margin</t>
  </si>
  <si>
    <t>Capex in % of revenue</t>
  </si>
  <si>
    <t>Capex / D&amp;A</t>
  </si>
  <si>
    <t>x</t>
  </si>
  <si>
    <t>Incremental revenue per NOK of net investment (capex – D&amp;A)</t>
  </si>
  <si>
    <t>Reference for the sales-to-capital driver. Organic investment only (acquisitions excluded)</t>
  </si>
  <si>
    <t>Effective tax rate</t>
  </si>
  <si>
    <t>Net working capital</t>
  </si>
  <si>
    <t>NWC in % of revenue</t>
  </si>
  <si>
    <t>Invested capital (pre-IFRS 16)</t>
  </si>
  <si>
    <t>NWC + PP&amp;E + intangibles + goodwill</t>
  </si>
  <si>
    <t>NOPAT (pre-IFRS 16, normalised tax)</t>
  </si>
  <si>
    <t>ROIC (average invested capital)</t>
  </si>
  <si>
    <t>NIBD / EBITDAaL</t>
  </si>
  <si>
    <t>EPS</t>
  </si>
  <si>
    <t>Payout ratio</t>
  </si>
  <si>
    <t>FCFF (pre-IFRS 16, before acquisitions)</t>
  </si>
  <si>
    <t>Interest share of lease payments</t>
  </si>
  <si>
    <t>Minority share of net profit</t>
  </si>
  <si>
    <t>Net interest rate on opening net debt</t>
  </si>
  <si>
    <t>Forecast drivers &amp; scenarios</t>
  </si>
  <si>
    <t>Base case per year (A), scenario adjustments (B), terminal value (D), cost structure and capital allocation (E), ramp-up of new locations (F). The model reads C–F.</t>
  </si>
  <si>
    <t>Explicit forecast</t>
  </si>
  <si>
    <t>Hist. avg (3y)</t>
  </si>
  <si>
    <t>Notes</t>
  </si>
  <si>
    <t>A. Base case drivers – enter forecast assumptions in the blue cells (history shown for reference)</t>
  </si>
  <si>
    <t>Segment mode only (greyed out in location mode): total volume growth per segment</t>
  </si>
  <si>
    <t>Location mode: growth in volume per MATURE location. History: growth in volume per location</t>
  </si>
  <si>
    <t>Location mode: openings minus closures. New locations ramp up over three years (section F)</t>
  </si>
  <si>
    <t>Personnel expenses – variable part, in % of revenue</t>
  </si>
  <si>
    <t>History shows the TOTAL ratio. Only this part scales with revenue – the fixed part (section E) grows with inflation and locations</t>
  </si>
  <si>
    <t>Other opex – variable part, in % of revenue</t>
  </si>
  <si>
    <t>History shows the TOTAL ratio – see personnel expenses</t>
  </si>
  <si>
    <t>Cost inflation on the fixed cost base and rent</t>
  </si>
  <si>
    <t>Wage and price inflation on the fixed cost base – and on rent per location in location mode</t>
  </si>
  <si>
    <t>Real growth in the fixed cost base (segment mode)</t>
  </si>
  <si>
    <t>Segment mode only. In location mode the fixed cost base grows with the number of locations (section C)</t>
  </si>
  <si>
    <t>Lease payments in % of revenue (IFRS 16, segment mode)</t>
  </si>
  <si>
    <t>Segment mode only. In location mode rent per location grows with cost inflation (Model)</t>
  </si>
  <si>
    <t>Maintenance capex in % of revenue</t>
  </si>
  <si>
    <t>History shows D&amp;A in % of revenue. Maintenance and refurbishment ≈ the historical capex/D&amp;A ratio (~1.14x)</t>
  </si>
  <si>
    <t>Sales-to-capital for growth capex (segment mode)</t>
  </si>
  <si>
    <t>Segment mode only. History: incremental revenue / (capex – D&amp;A), flattered by acquired revenue. Lower = more capital-intensive</t>
  </si>
  <si>
    <t>Capex per new location, NOKm (location mode)</t>
  </si>
  <si>
    <t>Location mode: fit-out, equipment and pre-opening costs per new location</t>
  </si>
  <si>
    <t>Tax rate</t>
  </si>
  <si>
    <t>Dividend payout ratio</t>
  </si>
  <si>
    <t>Interest rate on net debt (pre-tax)</t>
  </si>
  <si>
    <t>Interest rate on net cash</t>
  </si>
  <si>
    <t>B. Scenario adjustments – added to every forecast year of the base case</t>
  </si>
  <si>
    <t>Driver</t>
  </si>
  <si>
    <t>Active</t>
  </si>
  <si>
    <t>Comment</t>
  </si>
  <si>
    <t>Volume / like-for-like growth, all segments (pp p.a.)</t>
  </si>
  <si>
    <t>Weaker customer intake / churn in Bear</t>
  </si>
  <si>
    <t>Price/mix growth, all segments (pp p.a.)</t>
  </si>
  <si>
    <t>Pricing power tested by low-cost competition</t>
  </si>
  <si>
    <t>Net new locations per segment per year (count, location mode)</t>
  </si>
  <si>
    <t>Slower / faster roll-out</t>
  </si>
  <si>
    <t>COGS in % of revenue (pp)</t>
  </si>
  <si>
    <t>Input-cost inflation vs. procurement gains</t>
  </si>
  <si>
    <t>Personnel expenses, variable part (pp of revenue)</t>
  </si>
  <si>
    <t>Wage inflation vs. productivity</t>
  </si>
  <si>
    <t>Other opex, variable part (pp of revenue)</t>
  </si>
  <si>
    <t>Marketing / service cost pressure vs. scale</t>
  </si>
  <si>
    <t>Maintenance capex in % of revenue (pp)</t>
  </si>
  <si>
    <t>Higher maintenance capex in Bear</t>
  </si>
  <si>
    <t>Terminal growth (pp)</t>
  </si>
  <si>
    <t>Long-term growth</t>
  </si>
  <si>
    <t>Exit multiple, EV/EBITDAaL (x)</t>
  </si>
  <si>
    <t>Multiple de-/re-rating</t>
  </si>
  <si>
    <t>Scenario probability (for weighted value)</t>
  </si>
  <si>
    <t>Must sum to 100% (sum shown in Active column)</t>
  </si>
  <si>
    <t>C. Live drivers used by the model (base case + active scenario adjustment + sensitivity adjustment)</t>
  </si>
  <si>
    <t>Real growth in the fixed cost base (location mode: from the locations)</t>
  </si>
  <si>
    <t>D. Terminal value assumptions</t>
  </si>
  <si>
    <t>Assumption</t>
  </si>
  <si>
    <t>Input</t>
  </si>
  <si>
    <t>Terminal growth rate (nominal)</t>
  </si>
  <si>
    <t>Long-run nominal growth; should not exceed long-term GDP growth (~2-3%)</t>
  </si>
  <si>
    <t>Terminal EBIT adj. margin – override (blank = last forecast year)</t>
  </si>
  <si>
    <t>Leave blank to use the final forecast year's margin (already scenario-adjusted)</t>
  </si>
  <si>
    <t>Return on new invested capital (RONIC)</t>
  </si>
  <si>
    <t>Set close to WACC for companies without a lasting competitive advantage</t>
  </si>
  <si>
    <t>Long-term tax rate</t>
  </si>
  <si>
    <t>Exit multiple, EV / EBITDAaL (pre-IFRS 16)</t>
  </si>
  <si>
    <t>Cross-check only unless given weight on the Inputs sheet</t>
  </si>
  <si>
    <t>E. Cost structure and capital allocation</t>
  </si>
  <si>
    <t>Fixed share of personnel expenses (last actual year)</t>
  </si>
  <si>
    <t>Staffing per location is largely fixed. The fixed part grows with cost inflation and capacity (section C), not with revenue</t>
  </si>
  <si>
    <t>Fixed share of other opex (last actual year)</t>
  </si>
  <si>
    <t>IT, admin and premises-related costs are fixed; marketing and variable services scale with revenue</t>
  </si>
  <si>
    <t>Central share of fixed costs (inflation only, location mode)</t>
  </si>
  <si>
    <t>Head office, IT and brand costs do not grow with the number of locations – the source of operating leverage from openings</t>
  </si>
  <si>
    <t>Target leverage for buybacks (NIBD / EBITDAaL)</t>
  </si>
  <si>
    <t>Cash above this leverage is returned to shareholders when the switch below is on</t>
  </si>
  <si>
    <t>Return excess cash via share buybacks (1 = yes, 0 = let cash build up)</t>
  </si>
  <si>
    <t>Keeps the forecast capital structure close to the WACC assumption and lifts EPS; 0 = cash piles up at the cash rate</t>
  </si>
  <si>
    <t>Assumed annual share price growth for buybacks</t>
  </si>
  <si>
    <t>Buyback price = current share price grown at this rate (deliberately not linked to the cost of equity – avoids a circular reference)</t>
  </si>
  <si>
    <t>F. Location engine – ramp-up of new locations (location mode)</t>
  </si>
  <si>
    <t>Opening year: volume in % of a mature location</t>
  </si>
  <si>
    <t>Opened during the year and still filling up – roughly half a year at ~70% of mature volume</t>
  </si>
  <si>
    <t>Second year: volume in % of a mature location</t>
  </si>
  <si>
    <t>Most new locations reach 70-80% of mature volume in their first full year</t>
  </si>
  <si>
    <t>Third year: volume in % of a mature location (100% from the fourth year)</t>
  </si>
  <si>
    <t>Check the curve against the company's own disclosures on club / store maturity</t>
  </si>
  <si>
    <t>Calculations</t>
  </si>
  <si>
    <t>Operating Model – Calculations</t>
  </si>
  <si>
    <t>Calculation engine: history is linked from Hist, forecasts are driven by the live drivers on Drivers. Results are presented on Output.</t>
  </si>
  <si>
    <t>1. Revenue build – locations x volume per location x price/mix, per segment</t>
  </si>
  <si>
    <t>Locations (end of year)</t>
  </si>
  <si>
    <t>Net new locations</t>
  </si>
  <si>
    <t>Openings still ramping up (forecast openings only)</t>
  </si>
  <si>
    <t>Mature-equivalent locations</t>
  </si>
  <si>
    <t>Location mode: existing locations + new ones weighted by the ramp-up curve (Drivers F)</t>
  </si>
  <si>
    <t>Grows with like-for-like growth (Drivers A)</t>
  </si>
  <si>
    <t>Like-for-like growth</t>
  </si>
  <si>
    <t>Location mode: mature-equivalent locations x volume per location. Segment mode: volume growth (Drivers A)</t>
  </si>
  <si>
    <t>Volume growth</t>
  </si>
  <si>
    <t>Revenue per unit</t>
  </si>
  <si>
    <t>Price/mix growth</t>
  </si>
  <si>
    <t>Revenue</t>
  </si>
  <si>
    <t>Group – locations</t>
  </si>
  <si>
    <t>Openings still ramping up</t>
  </si>
  <si>
    <t>Average number of locations</t>
  </si>
  <si>
    <t>Growth in the average number of locations</t>
  </si>
  <si>
    <t>Location mode: drives fixed costs (Drivers C) and rent per location (section 2)</t>
  </si>
  <si>
    <t>Revenue per average location</t>
  </si>
  <si>
    <t>– of which volume</t>
  </si>
  <si>
    <t>of which new locations (capacity)</t>
  </si>
  <si>
    <t>History: growth in locations (incl. acquired). Forecast: growth in mature-equivalent locations (location mode)</t>
  </si>
  <si>
    <t>of which like-for-like volume</t>
  </si>
  <si>
    <t>– of which price/mix</t>
  </si>
  <si>
    <t>2. Earnings build – from revenue to net profit</t>
  </si>
  <si>
    <t>Personnel expenses – fixed part</t>
  </si>
  <si>
    <t>History: total x fixed share (Drivers E). Forecast: grows with cost inflation and capacity (Drivers C) – not with revenue</t>
  </si>
  <si>
    <t>Personnel expenses – variable part</t>
  </si>
  <si>
    <t>Scales with revenue (Drivers A)</t>
  </si>
  <si>
    <t>Other opex – fixed part</t>
  </si>
  <si>
    <t>Other opex – variable part</t>
  </si>
  <si>
    <t>Operating leverage is a result, not an input: fixed costs grow slower than revenue</t>
  </si>
  <si>
    <t>EBITDA margin</t>
  </si>
  <si>
    <t>Lease payments (IFRS 16 adjustment)</t>
  </si>
  <si>
    <t>Rent. Location mode: rent per location grows with cost inflation; segment mode: % of revenue. An operating cost in the DCF</t>
  </si>
  <si>
    <t>EBITDAaL (pre-IFRS 16)</t>
  </si>
  <si>
    <t>Basis for NOPAT and FCFF in the DCF</t>
  </si>
  <si>
    <t>Reconciliation to reported EBIT (IFRS 16)</t>
  </si>
  <si>
    <t>Forecast normally zero – enter known one-offs in the yellow cells</t>
  </si>
  <si>
    <t>EBIT (reported, IFRS 16)</t>
  </si>
  <si>
    <t>EBIT margin (reported)</t>
  </si>
  <si>
    <t>Interest on opening net debt (avoids circularity)</t>
  </si>
  <si>
    <t>Net profit margin</t>
  </si>
  <si>
    <t>Per share</t>
  </si>
  <si>
    <t>Reduced by buybacks (section 4)</t>
  </si>
  <si>
    <t>EPS growth</t>
  </si>
  <si>
    <t>DPS</t>
  </si>
  <si>
    <t>3. Investments, working capital and free cash flow</t>
  </si>
  <si>
    <t>Change in NWC (increase = cash outflow)</t>
  </si>
  <si>
    <t>Maintenance capex</t>
  </si>
  <si>
    <t>≈ D&amp;A – keeps the existing asset base intact (Drivers A)</t>
  </si>
  <si>
    <t>Growth capex</t>
  </si>
  <si>
    <t>Location mode: openings x capex per new location. Segment mode: incremental revenue / sales-to-capital</t>
  </si>
  <si>
    <t>PP&amp;E and intangibles excl. goodwill</t>
  </si>
  <si>
    <t>Opening balance + capex – D&amp;A</t>
  </si>
  <si>
    <t>Held flat – no acquisitions in the forecast</t>
  </si>
  <si>
    <t>NOPAT (pre-IFRS 16)</t>
  </si>
  <si>
    <t>Net reinvestment (capex – D&amp;A + increase in NWC)</t>
  </si>
  <si>
    <t>The return on this capital is compared with today's ROIC and the terminal RONIC on the DCF sheet</t>
  </si>
  <si>
    <t>Free cash flow to firm (FCFF)</t>
  </si>
  <si>
    <t>NOPAT + D&amp;A – capex – increase in NWC</t>
  </si>
  <si>
    <t>FCFF margin</t>
  </si>
  <si>
    <t>Cash conversion (FCFF / EBITDAaL)</t>
  </si>
  <si>
    <t>4. Financing and balance sheet roll-forward</t>
  </si>
  <si>
    <t>Dividend for year t-1 is paid in year t</t>
  </si>
  <si>
    <t>NIBD before buybacks</t>
  </si>
  <si>
    <t>Opening NIBD less free cash flow to equity plus dividends</t>
  </si>
  <si>
    <t>Assumed buyback price</t>
  </si>
  <si>
    <t>Current share price grown at the rate on Drivers E</t>
  </si>
  <si>
    <t>Share buybacks</t>
  </si>
  <si>
    <t>Cash above the target leverage (Drivers E) is returned when the switch is on</t>
  </si>
  <si>
    <t>NIBD before buybacks plus cash used for buybacks</t>
  </si>
  <si>
    <t>Lease liabilities</t>
  </si>
  <si>
    <t>Grows with lease payments</t>
  </si>
  <si>
    <t>Net debt incl. leases</t>
  </si>
  <si>
    <t>Moves with lease liabilities (new leases add to both sides)</t>
  </si>
  <si>
    <t>Held flat</t>
  </si>
  <si>
    <t>Equity to shareholders (book)</t>
  </si>
  <si>
    <t>Minority interests (book)</t>
  </si>
  <si>
    <t>Return on equity</t>
  </si>
  <si>
    <t>Output Financial Statements</t>
  </si>
  <si>
    <t>Link-only presentation of the income statement, balance sheet and cash flow – no assumptions are entered here.</t>
  </si>
  <si>
    <t>Growth</t>
  </si>
  <si>
    <t>Margin</t>
  </si>
  <si>
    <t>EBITDA</t>
  </si>
  <si>
    <t>EBIT</t>
  </si>
  <si>
    <t>Memo: pre-IFRS 16 earnings used in the valuation</t>
  </si>
  <si>
    <t>EBITDAaL (EBITDA after lease payments)</t>
  </si>
  <si>
    <t>Balance sheet – capital employed format</t>
  </si>
  <si>
    <t>Net capital employed</t>
  </si>
  <si>
    <t>Total funds invested</t>
  </si>
  <si>
    <t>Check (capital employed – funds invested)</t>
  </si>
  <si>
    <t>Cash flow statement</t>
  </si>
  <si>
    <t>EBITDAaL</t>
  </si>
  <si>
    <t>Special items</t>
  </si>
  <si>
    <t>Change in net working capital</t>
  </si>
  <si>
    <t>Other operating items (reported history)</t>
  </si>
  <si>
    <t>History: difference between reported cash flow from operations and the lines above</t>
  </si>
  <si>
    <t>Cash flow from operations after leases</t>
  </si>
  <si>
    <t>Free cash flow (after leases, interest and tax)</t>
  </si>
  <si>
    <t>Forecast: cash above the target leverage on Drivers (section E) when the buyback switch is on</t>
  </si>
  <si>
    <t>Other items (reported history)</t>
  </si>
  <si>
    <t>History: balancing item so the statement ties to the reported change in net debt</t>
  </si>
  <si>
    <t>Decrease / (increase) in net interest-bearing debt</t>
  </si>
  <si>
    <t>Net interest-bearing debt – opening</t>
  </si>
  <si>
    <t>Net interest-bearing debt – closing</t>
  </si>
  <si>
    <t>Check (closing NIBD – balance sheet)</t>
  </si>
  <si>
    <t>Memo</t>
  </si>
  <si>
    <t>Free cash flow to firm (unlevered – used in the DCF)</t>
  </si>
  <si>
    <t>Financial Analysis</t>
  </si>
  <si>
    <t>Growth, profitability, returns, leverage, per-share data and valuation multiples.</t>
  </si>
  <si>
    <t>Growth (year on year)</t>
  </si>
  <si>
    <t>EBIT adj.</t>
  </si>
  <si>
    <t>Free cash flow to firm</t>
  </si>
  <si>
    <t>Profitability</t>
  </si>
  <si>
    <t>Returns and capital efficiency (DuPont: ROIC = NOPAT margin x capital turnover)</t>
  </si>
  <si>
    <t>NOPAT margin</t>
  </si>
  <si>
    <t>Capital turnover (revenue / average invested capital)</t>
  </si>
  <si>
    <t>ROIC</t>
  </si>
  <si>
    <t>ROIC – WACC spread</t>
  </si>
  <si>
    <t>Positive spread = value creation</t>
  </si>
  <si>
    <t>Cash flow quality and investment intensity</t>
  </si>
  <si>
    <t>Capex / revenue</t>
  </si>
  <si>
    <t>Net reinvestment / revenue (capex – D&amp;A + increase in NWC)</t>
  </si>
  <si>
    <t>Net working capital / revenue</t>
  </si>
  <si>
    <t>Revenue per average location (NOKm)</t>
  </si>
  <si>
    <t>Leverage and coverage</t>
  </si>
  <si>
    <t>Net debt incl. leases / EBITDA</t>
  </si>
  <si>
    <t>Interest cover (EBIT adj. / net financial expense)</t>
  </si>
  <si>
    <t>NIBD / equity</t>
  </si>
  <si>
    <t>Per share data (NOK)</t>
  </si>
  <si>
    <t>Diluted shares (m)</t>
  </si>
  <si>
    <t>Reduced by buybacks in the forecast</t>
  </si>
  <si>
    <t>Book value per share</t>
  </si>
  <si>
    <t>Free cash flow per share</t>
  </si>
  <si>
    <t>Valuation multiples at the current share price</t>
  </si>
  <si>
    <t>Enterprise value excl. leases</t>
  </si>
  <si>
    <t>Enterprise value incl. leases</t>
  </si>
  <si>
    <t>EV / Sales</t>
  </si>
  <si>
    <t>EV basis follows the peer-multiple switch on Inputs</t>
  </si>
  <si>
    <t>EV / EBITDA</t>
  </si>
  <si>
    <t>IFRS 16 basis: EV incl. leases / reported EBITDA; otherwise EV excl. leases / EBITDAaL</t>
  </si>
  <si>
    <t>EV / EBIT</t>
  </si>
  <si>
    <t>P / E</t>
  </si>
  <si>
    <t>P / B</t>
  </si>
  <si>
    <t>FCF yield (FCFE / market cap)</t>
  </si>
  <si>
    <t>Dividend yield</t>
  </si>
  <si>
    <t>Company metrics on peer basis (used by Comps – basis follows the Inputs switch)</t>
  </si>
  <si>
    <t>EBITDA (peer basis)</t>
  </si>
  <si>
    <t>EBIT (peer basis, excl. special items)</t>
  </si>
  <si>
    <t>EBIT margin (peer basis)</t>
  </si>
  <si>
    <t>Valuation</t>
  </si>
  <si>
    <t>Cost of capital (WACC)</t>
  </si>
  <si>
    <t>CAPM with peer-based beta. Only blue cells are inputs.</t>
  </si>
  <si>
    <t>Cost of equity (CAPM)</t>
  </si>
  <si>
    <t>Peer beta analysis</t>
  </si>
  <si>
    <t>Peer</t>
  </si>
  <si>
    <t>Country</t>
  </si>
  <si>
    <t>Raw beta</t>
  </si>
  <si>
    <t>Adj. beta</t>
  </si>
  <si>
    <t>D/E (mkt)</t>
  </si>
  <si>
    <t>Unlev. beta</t>
  </si>
  <si>
    <t>Risk-free rate (10-year Norwegian government bond)</t>
  </si>
  <si>
    <t>Example value – update to the current 10y yield (Norges Bank)</t>
  </si>
  <si>
    <t>Equity risk premium</t>
  </si>
  <si>
    <t>NFF/PwC Norwegian risk premium survey: typically about 5%</t>
  </si>
  <si>
    <t>Unlevered beta – peer median</t>
  </si>
  <si>
    <t>From the peer beta table to the right</t>
  </si>
  <si>
    <t>Unlevered beta – override (optional)</t>
  </si>
  <si>
    <t>Leave blank to use the peer median</t>
  </si>
  <si>
    <t>Unlevered beta used</t>
  </si>
  <si>
    <t>Target debt / equity (D/E)</t>
  </si>
  <si>
    <t>Relevered beta = βu x (1 + (1 – t) x D/E)</t>
  </si>
  <si>
    <t>Hamada formula</t>
  </si>
  <si>
    <t>Size premium</t>
  </si>
  <si>
    <t>Optional small/mid-cap premium</t>
  </si>
  <si>
    <t>Median</t>
  </si>
  <si>
    <t>Company-specific risk premium</t>
  </si>
  <si>
    <t>Use sparingly – prefer scenarios</t>
  </si>
  <si>
    <t>Mean</t>
  </si>
  <si>
    <t>Cost of equity (Ke)</t>
  </si>
  <si>
    <t>Apply Blume adjustment (1 = yes)</t>
  </si>
  <si>
    <t>Cost of debt</t>
  </si>
  <si>
    <t>Adjusted beta = 0.67 x raw + 0.33 x 1.0 (Bloomberg convention). Source: example data – replace with 2y weekly betas.</t>
  </si>
  <si>
    <t>Unlevered beta = beta / (1 + (1 – tax) x D/E)</t>
  </si>
  <si>
    <t>Credit spread over the risk-free rate</t>
  </si>
  <si>
    <t>From loan/bond terms, or a synthetic rating based on interest cover</t>
  </si>
  <si>
    <t>Pre-tax cost of debt (Kd)</t>
  </si>
  <si>
    <t>After-tax cost of debt</t>
  </si>
  <si>
    <t>Capital structure and WACC</t>
  </si>
  <si>
    <t>Capital structure basis (1 = target, 2 = modelled from the forecast balance sheet)</t>
  </si>
  <si>
    <t>2 = average forecast D/(D+E) with NIBD from the Model and equity at the current market cap</t>
  </si>
  <si>
    <t>Target D / (D + E)</t>
  </si>
  <si>
    <t>Long-term target, excl. leases (FCFF is pre-IFRS 16)</t>
  </si>
  <si>
    <t>Modelled average D / (D + E) over the forecast</t>
  </si>
  <si>
    <t>Net cash counts as zero debt. Buybacks (Drivers E) keep this close to the target – a gap above 10pp is flagged on Checks</t>
  </si>
  <si>
    <t>D / (D + E) used</t>
  </si>
  <si>
    <t>E / (D + E) used</t>
  </si>
  <si>
    <t>Current market D / (D + E), excl. leases – reference</t>
  </si>
  <si>
    <t>WACC (calculated)</t>
  </si>
  <si>
    <t>WACC override (optional)</t>
  </si>
  <si>
    <t>Leave blank to use the calculated WACC</t>
  </si>
  <si>
    <t>WACC used in the valuation</t>
  </si>
  <si>
    <t>DCF Valuation</t>
  </si>
  <si>
    <t>FCFF discounted at WACC with stub period and mid-year convention; terminal value by value-driver Gordon growth.</t>
  </si>
  <si>
    <t>Terminal</t>
  </si>
  <si>
    <t>TV year</t>
  </si>
  <si>
    <t>Key assumptions (linked – change them on Inputs, Drivers and WACC)</t>
  </si>
  <si>
    <t>Terminal growth rate</t>
  </si>
  <si>
    <t>Share of first forecast year included (stub)</t>
  </si>
  <si>
    <t>Mid-year discounting</t>
  </si>
  <si>
    <t>Revenue build</t>
  </si>
  <si>
    <t>Growth capex (first forecast year)</t>
  </si>
  <si>
    <t>Capital structure in the WACC</t>
  </si>
  <si>
    <t>Free cash flow to firm (FCFF, pre-IFRS 16 – lease payments treated as operating costs)</t>
  </si>
  <si>
    <t>EBIT adj. (pre-IFRS 16)</t>
  </si>
  <si>
    <t>Taxes on EBIT</t>
  </si>
  <si>
    <t>NOPAT</t>
  </si>
  <si>
    <t>Add back: D&amp;A</t>
  </si>
  <si>
    <t>Less: capital expenditure</t>
  </si>
  <si>
    <t>Less: increase in net working capital</t>
  </si>
  <si>
    <t>Unlevered free cash flow (FCFF)</t>
  </si>
  <si>
    <t>TY column: normalised terminal-year FCFF (see terminal value)</t>
  </si>
  <si>
    <t>FCFF growth</t>
  </si>
  <si>
    <t>Reinvestment rate (1 – FCFF / NOPAT)</t>
  </si>
  <si>
    <t>Discounting (valuation date and stub period from Inputs)</t>
  </si>
  <si>
    <t>Forecast year number</t>
  </si>
  <si>
    <t>Share of year included (stub)</t>
  </si>
  <si>
    <t>FCFF included in valuation</t>
  </si>
  <si>
    <t>Discount period (years)</t>
  </si>
  <si>
    <t>yrs</t>
  </si>
  <si>
    <t>Discount factor</t>
  </si>
  <si>
    <t>Present value of FCFF</t>
  </si>
  <si>
    <t>Terminal value</t>
  </si>
  <si>
    <t>Terminal growth rate (g)</t>
  </si>
  <si>
    <t>Terminal-year NOPAT (final-year revenue x (1+g) x terminal margin x (1-t))</t>
  </si>
  <si>
    <t>Net reinvestment (NOPAT x g / RONIC)</t>
  </si>
  <si>
    <t>Terminal FCFF – value driver method</t>
  </si>
  <si>
    <t>Terminal FCFF – final-year FCFF x (1+g)</t>
  </si>
  <si>
    <t>Terminal FCFF used</t>
  </si>
  <si>
    <t>Terminal value – Gordon growth (end of final year)</t>
  </si>
  <si>
    <t>TV = FCFF(TY) / (WACC – g)</t>
  </si>
  <si>
    <t>Exit multiple (EV / EBITDAaL)</t>
  </si>
  <si>
    <t>Terminal value – exit multiple (end of final year)</t>
  </si>
  <si>
    <t>Discount factor – Gordon TV (same timing as final-year FCFF)</t>
  </si>
  <si>
    <t>With mid-year convention the Gordon TV is discounted half a year less</t>
  </si>
  <si>
    <t>Discount factor – exit-multiple TV (end of final year)</t>
  </si>
  <si>
    <t>PV of terminal value – Gordon growth</t>
  </si>
  <si>
    <t>PV of terminal value – exit multiple</t>
  </si>
  <si>
    <t>PV of terminal value – weighted (weights on Inputs)</t>
  </si>
  <si>
    <t>Enterprise value to equity value</t>
  </si>
  <si>
    <t>Sum of PV of FCFF (explicit forecast)</t>
  </si>
  <si>
    <t>PV of terminal value</t>
  </si>
  <si>
    <t>Enterprise value (DCF)</t>
  </si>
  <si>
    <t>Terminal value in % of EV</t>
  </si>
  <si>
    <t>Less: net interest-bearing debt excl. leases</t>
  </si>
  <si>
    <t>Less: minority interests</t>
  </si>
  <si>
    <t>Add: associates and financial investments</t>
  </si>
  <si>
    <t>Less: pension deficit and other debt-like items</t>
  </si>
  <si>
    <t>Add: other adjustments</t>
  </si>
  <si>
    <t>Equity value</t>
  </si>
  <si>
    <t>Memo: lease liabilities – not deducted, FCFF is already after lease payments</t>
  </si>
  <si>
    <t>DCF value per share (NOK)</t>
  </si>
  <si>
    <t>Current share price (NOK)</t>
  </si>
  <si>
    <t>Upside / (downside) to DCF value</t>
  </si>
  <si>
    <t>Sanity checks</t>
  </si>
  <si>
    <t>Implied EV / EBITDAaL – first forecast year</t>
  </si>
  <si>
    <t>Implied EV / EBITDAaL – second forecast year</t>
  </si>
  <si>
    <t>Implied exit multiple from Gordon TV (EV / EBITDAaL)</t>
  </si>
  <si>
    <t>Compare with peer EV/EBITDA and the company's own trading history</t>
  </si>
  <si>
    <t>Implied perpetual growth from exit-multiple TV</t>
  </si>
  <si>
    <t>Terminal-year ROIC (NOPAT / final-year invested capital)</t>
  </si>
  <si>
    <t>Return on new capital, explicit period (ΔNOPAT / cumulative net reinvestment)</t>
  </si>
  <si>
    <t>Shown as 999% if revenue grows without net investment</t>
  </si>
  <si>
    <t>Benchmark: the higher of ROIC in the last actual year and the terminal RONIC</t>
  </si>
  <si>
    <t>Explicit-period returns are judged against what the company earns today, not only the long-run fade</t>
  </si>
  <si>
    <t>… relative to the benchmark (x) – tolerance on Inputs</t>
  </si>
  <si>
    <t>Price increases on existing locations need no capital; far above the tolerance means growth is almost free</t>
  </si>
  <si>
    <t>RONIC minus WACC</t>
  </si>
  <si>
    <t>Positive = growth creates value in the terminal period</t>
  </si>
  <si>
    <t>WACC minus terminal growth</t>
  </si>
  <si>
    <t>Target price and recommendation</t>
  </si>
  <si>
    <t>weight</t>
  </si>
  <si>
    <t>Peer multiples value per share (NOK)</t>
  </si>
  <si>
    <t>Blended fair value per share (NOK)</t>
  </si>
  <si>
    <t>Cost of equity</t>
  </si>
  <si>
    <t>Roll-forward factor (12 months)</t>
  </si>
  <si>
    <t>Less: expected dividend next 12 months (NOK)</t>
  </si>
  <si>
    <t>12-month target price, unrounded (NOK)</t>
  </si>
  <si>
    <t>Target price (NOK)</t>
  </si>
  <si>
    <t>Upside / (downside) to target price</t>
  </si>
  <si>
    <t>Expected dividend yield (next 12 months)</t>
  </si>
  <si>
    <t>Expected total return</t>
  </si>
  <si>
    <t>Excess return: expected total return minus cost of equity</t>
  </si>
  <si>
    <t>A fairly priced share returns its cost of equity – only the excess justifies a rating</t>
  </si>
  <si>
    <t>Recommendation</t>
  </si>
  <si>
    <t>Sensitivity &amp; scenario analysis</t>
  </si>
  <si>
    <t>Tables 1-2 are live formulas. Tables 3-4 are Excel data tables (Data &gt; What-If Analysis).</t>
  </si>
  <si>
    <t>Data-table input cells – must stay BLANK (Excel substitutes values here when tables recalculate)</t>
  </si>
  <si>
    <t>Scenario override (1-3)</t>
  </si>
  <si>
    <t>Do not type in the grey cells – they feed the data tables in sections 3 and 4.</t>
  </si>
  <si>
    <t>Revenue growth adjustment (pp p.a.)</t>
  </si>
  <si>
    <t>EBITDA margin adjustment (pp)</t>
  </si>
  <si>
    <t>1. DCF value per share (NOK) – WACC vs. terminal growth</t>
  </si>
  <si>
    <t>WACC step</t>
  </si>
  <si>
    <t>Terminal growth step</t>
  </si>
  <si>
    <t>g  \  WACC</t>
  </si>
  <si>
    <t>Centre cell = model value (checked on the Checks sheet)</t>
  </si>
  <si>
    <t>2. DCF value per share (NOK) – WACC vs. exit multiple (exit-multiple method only)</t>
  </si>
  <si>
    <t>Exit multiple step</t>
  </si>
  <si>
    <t>Multiple  \  WACC</t>
  </si>
  <si>
    <t>3. DCF value per share (NOK) – change in revenue growth vs. change in EBITDA margin (data table)</t>
  </si>
  <si>
    <t>Rows: change in annual volume growth (segment mode) or like-for-like growth (location mode) for all segments. Columns: change in EBITDA margin (via other opex).</t>
  </si>
  <si>
    <t>4. Scenario analysis – Bear / Base / Bull (data table on the scenario switch)</t>
  </si>
  <si>
    <t>Scenario</t>
  </si>
  <si>
    <t>Revenue CAGR (last actual → final year)</t>
  </si>
  <si>
    <t>Revenue, final forecast year (NOKm)</t>
  </si>
  <si>
    <t>EBIT adj. margin, final year</t>
  </si>
  <si>
    <t>FCFF, final forecast year (NOKm)</t>
  </si>
  <si>
    <t>Enterprise value (NOKm)</t>
  </si>
  <si>
    <t>Upside to DCF value</t>
  </si>
  <si>
    <t>Blended fair value (NOK)</t>
  </si>
  <si>
    <t>Upside to target price</t>
  </si>
  <si>
    <t>Live model (current scenario)</t>
  </si>
  <si>
    <t>Probability-weighted DCF value per share (NOK)</t>
  </si>
  <si>
    <t>Probability-weighted target price (NOK)</t>
  </si>
  <si>
    <t>Probabilities are set on the Drivers sheet (section B).</t>
  </si>
  <si>
    <t>5. Reverse DCF input – value vs. a uniform shift in volume / like-for-like growth (data table)</t>
  </si>
  <si>
    <t>Rows: change in annual growth for all segments. The Reverse_DCF sheet finds the shift that matches the share price.</t>
  </si>
  <si>
    <t>Growth shift (pp p.a.)</t>
  </si>
  <si>
    <t>Revenue CAGR</t>
  </si>
  <si>
    <t>Live model (current settings)</t>
  </si>
  <si>
    <t>Peer group &amp; relative valuation</t>
  </si>
  <si>
    <t>Source: Bloomberg consensus as provided in the case material (example data – replace). Multiples at current prices.</t>
  </si>
  <si>
    <t>Mcap</t>
  </si>
  <si>
    <t>EV</t>
  </si>
  <si>
    <t>EV / Sales (x)</t>
  </si>
  <si>
    <t>EV / EBITDA (x)</t>
  </si>
  <si>
    <t>EV / EBIT (x)</t>
  </si>
  <si>
    <t>P / E (x)</t>
  </si>
  <si>
    <t>EBIT margin</t>
  </si>
  <si>
    <t>Rev. growth</t>
  </si>
  <si>
    <t>Company</t>
  </si>
  <si>
    <t>Peer A ASA</t>
  </si>
  <si>
    <t>NO</t>
  </si>
  <si>
    <t>Peer B AB</t>
  </si>
  <si>
    <t>SE</t>
  </si>
  <si>
    <t>Peer C A/S</t>
  </si>
  <si>
    <t>DK</t>
  </si>
  <si>
    <t>Peer D Oyj</t>
  </si>
  <si>
    <t>FI</t>
  </si>
  <si>
    <t>Peer E AB</t>
  </si>
  <si>
    <t>Peer F plc</t>
  </si>
  <si>
    <t>UK</t>
  </si>
  <si>
    <t>Peer G SE</t>
  </si>
  <si>
    <t>DE</t>
  </si>
  <si>
    <t>Peer H NV</t>
  </si>
  <si>
    <t>NL</t>
  </si>
  <si>
    <t>25th percentile</t>
  </si>
  <si>
    <t>75th percentile</t>
  </si>
  <si>
    <t>High</t>
  </si>
  <si>
    <t>Low</t>
  </si>
  <si>
    <t>Premium / (discount) vs. peer median</t>
  </si>
  <si>
    <t>Margin and growth columns show the difference in percentage points.</t>
  </si>
  <si>
    <t>Implied valuation from peer multiples</t>
  </si>
  <si>
    <t>Forecast year used (from Inputs)</t>
  </si>
  <si>
    <t>EV-to-equity bridge on peer basis (NOKm)</t>
  </si>
  <si>
    <t>Net debt (incl. leases if IFRS 16 basis), minorities, associates, pensions</t>
  </si>
  <si>
    <t>Multiple</t>
  </si>
  <si>
    <t>Company metric</t>
  </si>
  <si>
    <t>Peer 25th</t>
  </si>
  <si>
    <t>Peer median</t>
  </si>
  <si>
    <t>Peer 75th</t>
  </si>
  <si>
    <t>Value @25th</t>
  </si>
  <si>
    <t>Value @median</t>
  </si>
  <si>
    <t>Value @75th</t>
  </si>
  <si>
    <t>Include (1/0)</t>
  </si>
  <si>
    <t>Peer multiples value per share (average of included)</t>
  </si>
  <si>
    <t>← feeds the target price (weight on Inputs) and the football field</t>
  </si>
  <si>
    <t>Company vs. peers – value drivers (second forecast year)</t>
  </si>
  <si>
    <t>Valuation summary – football field</t>
  </si>
  <si>
    <t>Ranges in NOK per share. The chart updates automatically.</t>
  </si>
  <si>
    <t>Valuation method</t>
  </si>
  <si>
    <t>Spread</t>
  </si>
  <si>
    <t>Mid-point</t>
  </si>
  <si>
    <t>Basis</t>
  </si>
  <si>
    <t>Chart label</t>
  </si>
  <si>
    <t>Offset</t>
  </si>
  <si>
    <t>Bar</t>
  </si>
  <si>
    <t>52-week trading range</t>
  </si>
  <si>
    <t>Market data</t>
  </si>
  <si>
    <t>DCF – WACC ±0.5pp / g ±0.25pp</t>
  </si>
  <si>
    <t>Sensitivity table 1 (inner 3x3)</t>
  </si>
  <si>
    <t>DCF – Bear to Bull</t>
  </si>
  <si>
    <t>Sensitivity table 4</t>
  </si>
  <si>
    <t>EV/EBITDA – peers (25th–75th pct)</t>
  </si>
  <si>
    <t>EV/EBIT – peers (25th–75th pct)</t>
  </si>
  <si>
    <t>P/E – peers (25th–75th pct)</t>
  </si>
  <si>
    <t>EV/Sales – peers (25th–75th pct)</t>
  </si>
  <si>
    <t>Current share price</t>
  </si>
  <si>
    <t>Fair value today (blended DCF / peers)</t>
  </si>
  <si>
    <t>Comparable with the ranges above – all are values today</t>
  </si>
  <si>
    <t>DCF value per share</t>
  </si>
  <si>
    <t>12-month target price (shown separately)</t>
  </si>
  <si>
    <t>Fair value rolled forward at the cost of equity, less the dividend – not a value today</t>
  </si>
  <si>
    <t>Consensus target price (if available)</t>
  </si>
  <si>
    <t>Chart baseline (hidden axis starts here)</t>
  </si>
  <si>
    <t>Marker width for price / fair value / target price</t>
  </si>
  <si>
    <t>Helper columns for the Dashboard chart – bars start at the baseline in C18.</t>
  </si>
  <si>
    <t>Market view</t>
  </si>
  <si>
    <t>Reverse DCF – what the share price implies</t>
  </si>
  <si>
    <t>Solves the DCF for today's share price: which margin, growth, WACC or terminal growth would justify it? All other assumptions are kept at the base case.</t>
  </si>
  <si>
    <t>A. What the share price implies – market-implied vs. our base case</t>
  </si>
  <si>
    <t>Market-implied</t>
  </si>
  <si>
    <t>Our base case</t>
  </si>
  <si>
    <t>Difference</t>
  </si>
  <si>
    <t>Reference</t>
  </si>
  <si>
    <t xml:space="preserve">  Comment</t>
  </si>
  <si>
    <t>EBIT adj. margin, average of the forecast years</t>
  </si>
  <si>
    <t>Average of the last three actual years</t>
  </si>
  <si>
    <t>CAGR over the last three actual years</t>
  </si>
  <si>
    <t>… EBIT adj. margin in the final year at that growth</t>
  </si>
  <si>
    <t>Less growth means less operating leverage</t>
  </si>
  <si>
    <t>All other assumptions unchanged</t>
  </si>
  <si>
    <t>Share price (NOK)</t>
  </si>
  <si>
    <t>Differences are in percentage points. Each driver is solved on its own.</t>
  </si>
  <si>
    <t>DCF value per share, base case (NOK)</t>
  </si>
  <si>
    <t>Upside to the DCF value</t>
  </si>
  <si>
    <t>B. Conclusion (for the pitch)</t>
  </si>
  <si>
    <t>C. Margin solver – the same shift in the EBIT margin in every forecast year and the terminal year (the DCF is linear in it, so the solution is exact)</t>
  </si>
  <si>
    <t>Margin shift</t>
  </si>
  <si>
    <t>PV of the explicit FCFF per 1.00 shift in the EBIT margin (NOKm)</t>
  </si>
  <si>
    <t>Terminal-year FCFF per 1.00 shift (NOKm)</t>
  </si>
  <si>
    <t>PV of the terminal value per 1.00 shift (NOKm)</t>
  </si>
  <si>
    <t>DCF value per share per 1 percentage point of margin (NOK)</t>
  </si>
  <si>
    <t>Same effect as the EBITDA margin override on Sensitivity (via other opex)</t>
  </si>
  <si>
    <t>Market-implied shift in the EBIT margin (percentage points)</t>
  </si>
  <si>
    <t>Check: DCF value at the implied shift (NOK) = share price</t>
  </si>
  <si>
    <t>D. Growth solver – the same shift in volume / like-for-like growth for all segments (interpolated in Sensitivity table 5)</t>
  </si>
  <si>
    <t>Position of the share price in table 5 (row)</t>
  </si>
  <si>
    <t>Table 5 is an Excel data table – press F9 if it looks stale</t>
  </si>
  <si>
    <t>Growth shift at the bracket (low / high)</t>
  </si>
  <si>
    <t>DCF value at the bracket (low / high)</t>
  </si>
  <si>
    <t>Interpolation weight</t>
  </si>
  <si>
    <t>Market-implied growth shift (percentage points a year)</t>
  </si>
  <si>
    <t>Revenue CAGR at the implied shift</t>
  </si>
  <si>
    <t>EBIT adj. margin in the final year at the implied shift</t>
  </si>
  <si>
    <t>E. WACC solver – bisection on the closed-form DCF (the same formula as Sensitivity table 1)</t>
  </si>
  <si>
    <t>Step</t>
  </si>
  <si>
    <t>Mid</t>
  </si>
  <si>
    <t>Value (mid)</t>
  </si>
  <si>
    <t>Value (low)</t>
  </si>
  <si>
    <t>Lower bound for the WACC</t>
  </si>
  <si>
    <t>Upper bound for the WACC</t>
  </si>
  <si>
    <t>Share price inside the bracket (1 = yes)</t>
  </si>
  <si>
    <t>Market-implied WACC (steps hidden – click + to expand)</t>
  </si>
  <si>
    <t>F. Terminal growth solver – bisection on the closed-form DCF</t>
  </si>
  <si>
    <t>Lower bound for the terminal growth</t>
  </si>
  <si>
    <t>Upper bound for the terminal growth</t>
  </si>
  <si>
    <t>Market-implied terminal growth (steps hidden – click + to expand)</t>
  </si>
  <si>
    <t>Type the latest consensus in the blue cells (reported IFRS 16 basis). Differences update automatically.</t>
  </si>
  <si>
    <t>A. Consensus inputs</t>
  </si>
  <si>
    <t>Source</t>
  </si>
  <si>
    <t>Bloomberg consensus (example data – replace)</t>
  </si>
  <si>
    <t>Date</t>
  </si>
  <si>
    <t>Number of analysts</t>
  </si>
  <si>
    <t>Recommendations: Buy / Hold / Sell</t>
  </si>
  <si>
    <t>Consensus target price (NOK) – typed on Inputs</t>
  </si>
  <si>
    <t>Upside</t>
  </si>
  <si>
    <t>B. Our estimates vs. consensus</t>
  </si>
  <si>
    <t>Ours</t>
  </si>
  <si>
    <t>EPS (NOK)</t>
  </si>
  <si>
    <t>DPS (NOK)</t>
  </si>
  <si>
    <t>Green = we are more than 2% above consensus, red = more than 2% below. Margin row in percentage points.</t>
  </si>
  <si>
    <t>C. Where we differ from consensus – our variant perception</t>
  </si>
  <si>
    <t>Metric</t>
  </si>
  <si>
    <t>Year (1-3)</t>
  </si>
  <si>
    <t>rev / ebitda / ebit / eps / dps – drives 'The number'</t>
  </si>
  <si>
    <t>1. Topic</t>
  </si>
  <si>
    <t>Margins</t>
  </si>
  <si>
    <t>Our view</t>
  </si>
  <si>
    <t>EBIT margin expands as fixed costs are spread over more locations and revenue per location grows with price</t>
  </si>
  <si>
    <t>Consensus view</t>
  </si>
  <si>
    <t>Flat margins: cost inflation eats the price increases</t>
  </si>
  <si>
    <t>Why we differ – the evidence</t>
  </si>
  <si>
    <t>About 60% of personnel and 50% of other opex are fixed; rent grows with inflation and the number of locations, not with revenue</t>
  </si>
  <si>
    <t>What proves it – and when</t>
  </si>
  <si>
    <t>Q4 report (February): 2027 margin guidance. Capital markets day (November): margin target</t>
  </si>
  <si>
    <t>The number</t>
  </si>
  <si>
    <t>ebit</t>
  </si>
  <si>
    <t>2. Topic</t>
  </si>
  <si>
    <t>Roll-out</t>
  </si>
  <si>
    <t>Around seven openings a year that reach mature volume in their third year</t>
  </si>
  <si>
    <t>Four to five openings a year, no step-up in the pipeline</t>
  </si>
  <si>
    <t>Signed leases for 2026-27 and the integration of the 2024-25 bolt-ons free up management capacity</t>
  </si>
  <si>
    <t>Capital markets day (November): opening target and pipeline</t>
  </si>
  <si>
    <t>rev</t>
  </si>
  <si>
    <t>3. Topic</t>
  </si>
  <si>
    <t>Capital returns</t>
  </si>
  <si>
    <t>Cash above 0.75x NIBD/EBITDAaL goes to buybacks – EPS grows faster than net profit</t>
  </si>
  <si>
    <t>Dividends only; leverage drifts down</t>
  </si>
  <si>
    <t>Stated leverage target and a stable, cash-generative subscription model</t>
  </si>
  <si>
    <t>AGM (spring 2027): buyback mandate</t>
  </si>
  <si>
    <t>eps</t>
  </si>
  <si>
    <t>D. Summary</t>
  </si>
  <si>
    <t>Our EBIT vs. consensus (years 1 / 2 / 3)</t>
  </si>
  <si>
    <t>Our EPS vs. consensus (years 1 / 2 / 3)</t>
  </si>
  <si>
    <t>Thesis tracker – scenario stories and kill criteria</t>
  </si>
  <si>
    <t>Stories and kill criteria are typed here (blue). Probabilities, values and actuals are linked from the model.</t>
  </si>
  <si>
    <t>A. Scenario stories – what has to happen, and what to watch</t>
  </si>
  <si>
    <t>Probability</t>
  </si>
  <si>
    <t>DCF value</t>
  </si>
  <si>
    <t>vs. price</t>
  </si>
  <si>
    <t>Target price</t>
  </si>
  <si>
    <t>Rating</t>
  </si>
  <si>
    <t>Story</t>
  </si>
  <si>
    <t>Low-cost chains take share in the big cities: price increases stall, churn rises and the roll-out slows</t>
  </si>
  <si>
    <t>What has to happen</t>
  </si>
  <si>
    <t>Two or more low-cost openings per quarter in our core cities and price/mix below +1.5% for two quarters</t>
  </si>
  <si>
    <t>Signpost to watch</t>
  </si>
  <si>
    <t>Group price/mix growth and churn in the quarterly reports</t>
  </si>
  <si>
    <t>Steady like-for-like growth, around seven openings a year and operating leverage from a largely fixed cost base</t>
  </si>
  <si>
    <t>Annual price increases of ~3% stick and new locations reach 75% of mature volume in their second year</t>
  </si>
  <si>
    <t>Revenue per location and the ramp-up of the 2026 openings</t>
  </si>
  <si>
    <t>Faster roll-out and premium tiers: more openings at similar returns and higher revenue per member</t>
  </si>
  <si>
    <t>The capital markets day lifts the opening target and premium tiers pass 25% of members</t>
  </si>
  <si>
    <t>Opening pipeline and premium share at the capital markets day</t>
  </si>
  <si>
    <t>B. Kill criteria – what would make us wrong (status on the latest actuals)</t>
  </si>
  <si>
    <t>KPI</t>
  </si>
  <si>
    <t>Kill if</t>
  </si>
  <si>
    <t>Threshold</t>
  </si>
  <si>
    <t>Latest actual</t>
  </si>
  <si>
    <t>Period</t>
  </si>
  <si>
    <t>Base case (next year)</t>
  </si>
  <si>
    <t>Watch zone</t>
  </si>
  <si>
    <t>Status</t>
  </si>
  <si>
    <t>Base case check</t>
  </si>
  <si>
    <t>Price/mix growth, group</t>
  </si>
  <si>
    <t>below</t>
  </si>
  <si>
    <t>Quarterly report / LTM</t>
  </si>
  <si>
    <t>Like-for-like volume growth, group</t>
  </si>
  <si>
    <t>above</t>
  </si>
  <si>
    <t>Kill criteria breached on the latest actuals</t>
  </si>
  <si>
    <t>Kill criteria in the watch zone</t>
  </si>
  <si>
    <t>Base case breaches a kill criterion</t>
  </si>
  <si>
    <t>Latest actual links to the last actual year. Overwrite it with the latest reported quarter (LTM) as new reports arrive – the Checks sheet flags any breach.</t>
  </si>
  <si>
    <t>Summary</t>
  </si>
  <si>
    <t>Investment summary</t>
  </si>
  <si>
    <t>Key financials</t>
  </si>
  <si>
    <t xml:space="preserve">  growth</t>
  </si>
  <si>
    <t>EBITDA (reported)</t>
  </si>
  <si>
    <t>Expected total return (incl. dividend)</t>
  </si>
  <si>
    <t xml:space="preserve">  margin</t>
  </si>
  <si>
    <t>Excess return vs. cost of equity</t>
  </si>
  <si>
    <t>Probability-weighted DCF value (NOK)</t>
  </si>
  <si>
    <t>Market capitalisation (NOKm)</t>
  </si>
  <si>
    <t>FCFF</t>
  </si>
  <si>
    <t>Enterprise value, excl. leases (NOKm)</t>
  </si>
  <si>
    <t>NIBD / EBITDAaL (x)</t>
  </si>
  <si>
    <t>Terminal growth</t>
  </si>
  <si>
    <t>Terminal value share of DCF EV</t>
  </si>
  <si>
    <t>Implied exit multiple (EV/EBITDAaL)</t>
  </si>
  <si>
    <t>Market-implied EBIT adj. margin, final year</t>
  </si>
  <si>
    <t>Charts below update automatically. Revenue/EBIT and FCFF/ROIC cover the full history and forecast.</t>
  </si>
  <si>
    <t>EBIT (reported) vs. consensus, second forecast year</t>
  </si>
  <si>
    <t>Model checks</t>
  </si>
  <si>
    <t>Revenue (NOKm) and EBIT adj. margin</t>
  </si>
  <si>
    <t>Free cash flow to firm (NOKm) and ROIC</t>
  </si>
  <si>
    <t>Valuation range (NOK per share)</t>
  </si>
  <si>
    <t>DCF value per share by scenario (NOK)</t>
  </si>
  <si>
    <t>Deck feed – numbers ready for the pitch deck</t>
  </si>
  <si>
    <t>Copy these cells into PowerPoint (Paste Special &gt; Keep text only) after the final model run.</t>
  </si>
  <si>
    <t>A. Key numbers and text lines</t>
  </si>
  <si>
    <t>B. Financial summary (copy to 'Financials and estimates')</t>
  </si>
  <si>
    <t>Headline</t>
  </si>
  <si>
    <t>Recommendation box</t>
  </si>
  <si>
    <t>Target price build-up</t>
  </si>
  <si>
    <t>DCF summary</t>
  </si>
  <si>
    <t>Market snapshot</t>
  </si>
  <si>
    <t>Market cap (NOKm)</t>
  </si>
  <si>
    <t>EV excl. leases (NOKm)</t>
  </si>
  <si>
    <t>NIBD excl. leases (NOKm)</t>
  </si>
  <si>
    <t>Peer value per share (NOK)</t>
  </si>
  <si>
    <t>FCF yield</t>
  </si>
  <si>
    <t>Multiples are at the current share price.</t>
  </si>
  <si>
    <t>Terminal value share of EV</t>
  </si>
  <si>
    <t>Implied exit multiple</t>
  </si>
  <si>
    <t>Revenue CAGR, last actual to 5th forecast year</t>
  </si>
  <si>
    <t>EBIT adj. margin, last actual year</t>
  </si>
  <si>
    <t>EBIT adj. margin, 5th forecast year</t>
  </si>
  <si>
    <t>ROIC, 3rd forecast year</t>
  </si>
  <si>
    <t>P/E, first forecast year</t>
  </si>
  <si>
    <t>EV/EBIT, second forecast year</t>
  </si>
  <si>
    <t>Dividend yield, first forecast year</t>
  </si>
  <si>
    <t>Reverse DCF – headline</t>
  </si>
  <si>
    <t>Market-implied revenue CAGR</t>
  </si>
  <si>
    <t>Market-implied WACC</t>
  </si>
  <si>
    <t>EPS vs. consensus, second forecast year</t>
  </si>
  <si>
    <t>Model integrity checks</t>
  </si>
  <si>
    <t>Errors must be fixed. Warnings must be understood (and ideally explained in the pitch).</t>
  </si>
  <si>
    <t>Overall status</t>
  </si>
  <si>
    <t>Errors / warnings</t>
  </si>
  <si>
    <t>Check</t>
  </si>
  <si>
    <t>Value</t>
  </si>
  <si>
    <t>Type</t>
  </si>
  <si>
    <t>What to do if it fails</t>
  </si>
  <si>
    <t>Historical balance sheet balances</t>
  </si>
  <si>
    <t>Error</t>
  </si>
  <si>
    <t>Check the balance sheet inputs on Hist (costs negative, totals complete)</t>
  </si>
  <si>
    <t>Historical cash flow ties to change in cash</t>
  </si>
  <si>
    <t>Warning</t>
  </si>
  <si>
    <t>Condensed cash flow may omit FX and other items – fine if explained</t>
  </si>
  <si>
    <t>Revenue build equals reported revenue (history)</t>
  </si>
  <si>
    <t>Segment revenues must add up to total revenue</t>
  </si>
  <si>
    <t>Model EBIT equals reported EBIT (history)</t>
  </si>
  <si>
    <t>Check the mapping of D&amp;A, right-of-use depreciation and special items</t>
  </si>
  <si>
    <t>Forecast balance sheet balances (Output)</t>
  </si>
  <si>
    <t>Capital employed must equal funds invested in every year</t>
  </si>
  <si>
    <t>Cash flow statement ties to net debt (Output)</t>
  </si>
  <si>
    <t>Opening NIBD less the change in NIBD must equal the balance sheet</t>
  </si>
  <si>
    <t>No Excel errors in calculation sheets</t>
  </si>
  <si>
    <t>Find the #-error and fix its inputs (often a blank or zero denominator)</t>
  </si>
  <si>
    <t>WACC above terminal growth</t>
  </si>
  <si>
    <t>Gordon growth requires WACC &gt; g</t>
  </si>
  <si>
    <t>Terminal growth at most 3%</t>
  </si>
  <si>
    <t>Long-run growth above nominal GDP is hard to defend</t>
  </si>
  <si>
    <t>Terminal value at most 80% of EV</t>
  </si>
  <si>
    <t>Extend the forecast or revisit terminal assumptions</t>
  </si>
  <si>
    <t>RONIC at least WACC</t>
  </si>
  <si>
    <t>Growth destroys value if RONIC &lt; WACC – deliberate?</t>
  </si>
  <si>
    <t>Stub fraction between 0% and 100%</t>
  </si>
  <si>
    <t>Valuation date must be in the first forecast year</t>
  </si>
  <si>
    <t>Weights between 0% and 100%</t>
  </si>
  <si>
    <t>Terminal value and target price weights on Inputs</t>
  </si>
  <si>
    <t>Sensitivity centre equals DCF value</t>
  </si>
  <si>
    <t>Closed-form sensitivity must reproduce the model value</t>
  </si>
  <si>
    <t>Data-table input cells are blank</t>
  </si>
  <si>
    <t>Clear cells D4:D6 on the Sensitivity sheet</t>
  </si>
  <si>
    <t>Scenario probabilities sum to 100%</t>
  </si>
  <si>
    <t>Drivers sheet, section B</t>
  </si>
  <si>
    <t>PP&amp;E stays positive in the forecast</t>
  </si>
  <si>
    <t>Capex too low relative to D&amp;A</t>
  </si>
  <si>
    <t>Share price and share count positive</t>
  </si>
  <si>
    <t>Inputs sheet</t>
  </si>
  <si>
    <t>Implied exit multiple within peer EV/EBITDA range</t>
  </si>
  <si>
    <t>Implied multiple is EV/EBITDAaL (pre-IFRS 16) – compare with care</t>
  </si>
  <si>
    <t>DCF within ±30% of peer multiples value</t>
  </si>
  <si>
    <t>Large gaps need an explanation in the pitch</t>
  </si>
  <si>
    <t>Growth is paid for: return on new capital (explicit period) vs. today's ROIC</t>
  </si>
  <si>
    <t>Growth is almost free in the forecast – check growth capex (capex per new location or sales-to-capital), maintenance capex vs. D&amp;A and NWC on Drivers</t>
  </si>
  <si>
    <t>Net reinvestment positive in every year with revenue growth</t>
  </si>
  <si>
    <t>Number of forecast years in which revenue grows while net investment is negative</t>
  </si>
  <si>
    <t>WACC capital structure consistent with the forecast balance sheet</t>
  </si>
  <si>
    <t>D/(D+E) in the WACC is more than 10pp from the modelled average – use the modelled basis (WACC sheet) or change leverage / buybacks (Drivers E)</t>
  </si>
  <si>
    <t>Locations positive in every forecast year</t>
  </si>
  <si>
    <t>Net new locations on Drivers (section A) close more locations than exist</t>
  </si>
  <si>
    <t>Ramp-up curve between 0% and 100% and rising</t>
  </si>
  <si>
    <t>Drivers, section F</t>
  </si>
  <si>
    <t>Utilisation: volume per mature location vs. the historical peak (location mode)</t>
  </si>
  <si>
    <t>Like-for-like growth fills locations far beyond anything seen historically – add openings or lower like-for-like growth</t>
  </si>
  <si>
    <t>Reverse DCF solved for all market-implied drivers</t>
  </si>
  <si>
    <t>The share price is outside a solver range – see the Reverse_DCF sheet (press F9 to refresh Sensitivity table 5)</t>
  </si>
  <si>
    <t>Thesis tracker: no kill criterion breached on the latest actuals</t>
  </si>
  <si>
    <t>A kill criterion is breached – revisit the investment case (Thesis sheet)</t>
  </si>
  <si>
    <t>Base case consistent with its own kill criteria</t>
  </si>
  <si>
    <t>Our base case breaches a kill criterion next year – change the forecast or the threshold (Thesis sheet)</t>
  </si>
  <si>
    <t>Active scenario is Base (for the pitch)</t>
  </si>
  <si>
    <t>Info</t>
  </si>
  <si>
    <t>Switch back to Base before copying numbers to the deck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</si>
</sst>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5" formatCode="dd\.mm\.yyyy"/>
    <numFmt numFmtId="166" formatCode="0.0%_);\(0.0%\);&quot;–&quot;_)"/>
    <numFmt numFmtId="167" formatCode="#,##0.00_);\(#,##0.00\);&quot;–&quot;_)"/>
    <numFmt numFmtId="168" formatCode="#,##0.0_);\(#,##0.0\);&quot;–&quot;_)"/>
    <numFmt numFmtId="169" formatCode="#,##0_);\(#,##0\);&quot;–&quot;_)"/>
    <numFmt numFmtId="170" formatCode="0.0&quot;x&quot;_);\(0.0&quot;x&quot;\);&quot;–&quot;_)"/>
    <numFmt numFmtId="171" formatCode="0.00&quot;x&quot;_);\(0.00&quot;x&quot;\);&quot;–&quot;_)"/>
    <numFmt numFmtId="172" formatCode="0.00%_);\(0.00%\);&quot;–&quot;_)"/>
    <numFmt numFmtId="173" formatCode="0.000"/>
    <numFmt numFmtId="174" formatCode="&quot;growth ↓ margin →&quot;"/>
    <numFmt numFmtId="175" formatCode="\+0.0%;\-0.0%;0.0%"/>
    <numFmt numFmtId="176" formatCode="\+0.00%;\-0.00%;0.00%"/>
    <numFmt numFmtId="177" formatCode="0.0000%"/>
  </numFmts>
  <fonts count="39" x14ac:knownFonts="1">
    <font>
      <sz val="11"/>
      <color theme="1"/>
      <name val="Calibri"/>
      <family val="2"/>
      <scheme val="minor"/>
    </font>
    <font>
      <b/>
      <sz val="15"/>
      <color rgb="FF407061"/>
      <name val="Arial"/>
    </font>
    <font>
      <i/>
      <sz val="9"/>
      <color rgb="FF7F7F7F"/>
      <name val="Arial"/>
    </font>
    <font>
      <b/>
      <sz val="9"/>
      <color rgb="FFFFFFFF"/>
      <name val="Arial"/>
    </font>
    <font>
      <sz val="9"/>
      <color rgb="FF000000"/>
      <name val="Arial"/>
    </font>
    <font>
      <sz val="9"/>
      <color rgb="FF0000FF"/>
      <name val="Arial"/>
    </font>
    <font>
      <b/>
      <sz val="9"/>
      <color rgb="FF000000"/>
      <name val="Arial"/>
    </font>
    <font>
      <b/>
      <sz val="9"/>
      <color rgb="FF7F7F7F"/>
      <name val="Arial"/>
    </font>
    <font>
      <sz val="9"/>
      <color rgb="FF7F7F7F"/>
      <name val="Arial"/>
    </font>
    <font>
      <b/>
      <sz val="9"/>
      <color rgb="FF003255"/>
      <name val="Arial"/>
    </font>
    <font>
      <sz val="7"/>
      <color rgb="FF7F7F7F"/>
      <name val="Arial"/>
    </font>
    <font>
      <i/>
      <sz val="9"/>
      <color rgb="FF000000"/>
      <name val="Arial"/>
    </font>
    <font>
      <i/>
      <sz val="9"/>
      <color rgb="FF003255"/>
      <name val="Arial"/>
    </font>
    <font>
      <sz val="9"/>
      <color rgb="FF008000"/>
      <name val="Arial"/>
    </font>
    <font>
      <b/>
      <sz val="10"/>
      <color rgb="FFFFFFFF"/>
      <name val="Arial"/>
    </font>
    <font>
      <i/>
      <sz val="9"/>
      <color rgb="FF008000"/>
      <name val="Arial"/>
    </font>
    <font>
      <b/>
      <sz val="9"/>
      <color rgb="FF008000"/>
      <name val="Arial"/>
    </font>
    <font>
      <b/>
      <sz val="11"/>
      <color rgb="FF003255"/>
      <name val="Arial"/>
    </font>
    <font>
      <b/>
      <sz val="9"/>
      <name val="Arial"/>
    </font>
    <font>
      <sz val="9"/>
      <color rgb="FF003255"/>
      <name val="Arial"/>
    </font>
    <font>
      <b/>
      <sz val="9"/>
      <color rgb="FF0000FF"/>
      <name val="Arial"/>
    </font>
    <font>
      <b/>
      <sz val="9"/>
      <color rgb="FFC00000"/>
      <name val="Arial"/>
    </font>
    <font>
      <b/>
      <sz val="9"/>
      <color rgb="FF2E7D32"/>
      <name val="Arial"/>
    </font>
    <font>
      <b/>
      <sz val="11"/>
      <color rgb="FF000000"/>
      <name val="Arial"/>
    </font>
    <font>
      <b/>
      <sz val="12"/>
      <color rgb="FFFFFFFF"/>
      <name val="Arial"/>
    </font>
    <font>
      <b/>
      <sz val="10"/>
      <color rgb="FF003255"/>
      <name val="Arial"/>
    </font>
    <font>
      <b/>
      <sz val="24"/>
      <color rgb="FF003255"/>
      <name val="Arial"/>
    </font>
    <font>
      <b/>
      <sz val="22"/>
      <color rgb="FF000000"/>
      <name val="Arial"/>
    </font>
    <font>
      <i/>
      <sz val="10"/>
      <color rgb="FF7F7F7F"/>
      <name val="Arial"/>
    </font>
    <font>
      <b/>
      <sz val="12"/>
      <color rgb="FF003255"/>
      <name val="Arial"/>
    </font>
    <font>
      <b/>
      <sz val="10"/>
      <color rgb="FF000000"/>
      <name val="Arial"/>
    </font>
    <font>
      <i/>
      <sz val="9"/>
      <color rgb="FFC00000"/>
      <name val="Arial"/>
    </font>
    <font>
      <b/>
      <sz val="10"/>
      <color rgb="FF0563C1"/>
      <name val="Arial"/>
    </font>
    <font>
      <b/>
      <sz val="8"/>
      <color rgb="FFFFFFFF"/>
      <name val="Arial"/>
    </font>
    <font>
      <b/>
      <sz val="8"/>
      <color rgb="FF000000"/>
      <name val="Arial"/>
    </font>
    <font>
      <b/>
      <sz val="9"/>
      <color rgb="FF0563C1"/>
      <name val="Arial"/>
    </font>
    <font>
      <i/>
      <sz val="8"/>
      <color rgb="FF7F7F7F"/>
      <name val="Arial"/>
    </font>
    <font>
      <b/>
      <sz val="16"/>
      <color rgb="FF003255"/>
      <name val="Arial"/>
    </font>
    <font>
      <sz val="10"/>
      <color rgb="FF7F7F7F"/>
      <name val="Arial"/>
    </font>
  </fonts>
  <fills count="12">
    <fill>
      <patternFill patternType="none"/>
    </fill>
    <fill>
      <patternFill patternType="gray125"/>
    </fill>
    <fill>
      <patternFill patternType="solid">
        <fgColor rgb="FF003255"/>
      </patternFill>
    </fill>
    <fill>
      <patternFill patternType="solid">
        <fgColor rgb="FFFEF4CE"/>
      </patternFill>
    </fill>
    <fill>
      <patternFill patternType="solid">
        <fgColor rgb="FF808080"/>
      </patternFill>
    </fill>
    <fill>
      <patternFill patternType="solid">
        <fgColor rgb="FFDCEBF2"/>
      </patternFill>
    </fill>
    <fill>
      <patternFill patternType="solid">
        <fgColor rgb="FFF2F2F2"/>
      </patternFill>
    </fill>
    <fill>
      <patternFill patternType="solid">
        <fgColor rgb="FFFFC000"/>
      </patternFill>
    </fill>
    <fill>
      <patternFill patternType="solid">
        <fgColor rgb="FF7F7F7F"/>
      </patternFill>
    </fill>
    <fill>
      <patternFill patternType="solid">
        <fgColor rgb="FF407061"/>
      </patternFill>
    </fill>
    <fill>
      <patternFill patternType="solid">
        <fgColor rgb="FF4F7FA0"/>
      </patternFill>
    </fill>
    <fill>
      <patternFill patternType="solid">
        <fgColor rgb="FF81B0C0"/>
      </patternFill>
    </fill>
  </fills>
  <borders count="16">
    <border>
      <left/>
      <right/>
      <top/>
      <bottom/>
      <diagonal/>
    </border>
    <border>
      <left/>
      <right/>
      <top/>
      <bottom style="thin">
        <color rgb="FF000000"/>
      </bottom>
      <diagonal/>
    </border>
    <border>
      <left/>
      <right/>
      <top style="thin">
        <color rgb="FFA6A6A6"/>
      </top>
      <bottom/>
      <diagonal/>
    </border>
    <border>
      <left/>
      <right/>
      <top/>
      <bottom style="thin">
        <color rgb="FFA6A6A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3255"/>
      </left>
      <right style="medium">
        <color rgb="FF003255"/>
      </right>
      <top style="medium">
        <color rgb="FF003255"/>
      </top>
      <bottom style="medium">
        <color rgb="FF003255"/>
      </bottom>
      <diagonal/>
    </border>
    <border>
      <left/>
      <right/>
      <top/>
      <bottom style="medium">
        <color rgb="FF003255"/>
      </bottom>
      <diagonal/>
    </border>
    <border>
      <left/>
      <right/>
      <top style="medium">
        <color rgb="FF003255"/>
      </top>
      <bottom/>
      <diagonal/>
    </border>
  </borders>
  <cellStyleXfs count="1">
    <xf numFmtId="0" fontId="0" fillId="0" borderId="0"/>
  </cellStyleXfs>
  <cellXfs count="264">
    <xf numFmtId="0" fontId="0" fillId="0" borderId="0" xfId="0"/>
    <xf numFmtId="0" fontId="0" fillId="2" borderId="0" xfId="0" applyFill="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8" fillId="0" borderId="0" xfId="0" applyFont="1"/>
    <xf numFmtId="0" fontId="3" fillId="2" borderId="0" xfId="0" applyFont="1" applyFill="1"/>
    <xf numFmtId="0" fontId="32" fillId="0" borderId="0" xfId="0" applyFont="1"/>
    <xf numFmtId="0" fontId="6" fillId="0" borderId="0" xfId="0" applyFont="1"/>
    <xf numFmtId="0" fontId="5" fillId="0" borderId="0" xfId="0" applyFont="1" applyAlignment="1">
      <alignment horizontal="right"/>
    </xf>
    <xf numFmtId="0" fontId="8" fillId="0" borderId="0" xfId="0" applyFont="1" applyAlignment="1">
      <alignment indent="1"/>
    </xf>
    <xf numFmtId="0" fontId="34" fillId="7" borderId="0" xfId="0" applyFont="1" applyFill="1"/>
    <xf numFmtId="0" fontId="2" fillId="0" borderId="0" xfId="0" applyFont="1"/>
    <xf numFmtId="0" fontId="5" fillId="3" borderId="0" xfId="0" applyFont="1" applyFill="1" applyAlignment="1">
      <alignment horizontal="right"/>
    </xf>
    <xf numFmtId="0" fontId="35" fillId="0" borderId="3" xfId="0" applyFont="1" applyBorder="1"/>
    <xf numFmtId="0" fontId="6" fillId="0" borderId="3" xfId="0" applyFont="1" applyBorder="1"/>
    <xf numFmtId="0" fontId="8" fillId="0" borderId="3" xfId="0" applyFont="1" applyBorder="1"/>
    <xf numFmtId="0" fontId="4" fillId="0" borderId="0" xfId="0" applyFont="1" applyAlignment="1">
      <alignment horizontal="right"/>
    </xf>
    <xf numFmtId="0" fontId="13" fillId="0" borderId="0" xfId="0" applyFont="1" applyAlignment="1">
      <alignment horizontal="right"/>
    </xf>
    <xf numFmtId="0" fontId="6" fillId="5" borderId="0" xfId="0" applyFont="1" applyFill="1" applyAlignment="1">
      <alignment horizontal="right"/>
    </xf>
    <xf numFmtId="0" fontId="33" fillId="8" borderId="0" xfId="0" applyFont="1" applyFill="1"/>
    <xf numFmtId="0" fontId="2" fillId="0" borderId="0" xfId="0" applyFont="1" applyAlignment="1">
      <alignment horizontal="right"/>
    </xf>
    <xf numFmtId="0" fontId="33" fillId="9" borderId="0" xfId="0" applyFont="1" applyFill="1"/>
    <xf numFmtId="0" fontId="36" fillId="0" borderId="0" xfId="0" applyFont="1"/>
    <xf numFmtId="0" fontId="33" fillId="2" borderId="0" xfId="0" applyFont="1" applyFill="1"/>
    <xf numFmtId="0" fontId="33" fillId="10" borderId="0" xfId="0" applyFont="1" applyFill="1"/>
    <xf numFmtId="0" fontId="34" fillId="11" borderId="0" xfId="0" applyFont="1" applyFill="1"/>
    <xf numFmtId="0" fontId="1" fillId="0" borderId="0" xfId="0" applyFont="1"/>
    <xf numFmtId="0" fontId="14" fillId="2" borderId="0" xfId="0" applyFont="1" applyFill="1"/>
    <xf numFmtId="0" fontId="9" fillId="0" borderId="0" xfId="0" applyFont="1" applyAlignment="1">
      <alignment horizontal="center"/>
    </xf>
    <xf numFmtId="0" fontId="4" fillId="0" borderId="3" xfId="0" applyFont="1" applyBorder="1"/>
    <xf numFmtId="0" fontId="37" fillId="0" borderId="0" xfId="0" applyFont="1"/>
    <xf numFmtId="0" fontId="32" fillId="0" borderId="3" xfId="0" applyFont="1" applyBorder="1"/>
    <xf numFmtId="0" fontId="30" fillId="0" borderId="3" xfId="0" applyFont="1" applyBorder="1"/>
    <xf numFmtId="0" fontId="38" fillId="0" borderId="3" xfId="0" applyFont="1" applyBorder="1"/>
    <xf numFmtId="0" fontId="35" fillId="0" borderId="0" xfId="0" applyFont="1"/>
    <xf numFmtId="0" fontId="7" fillId="0" borderId="0" xfId="0" applyFont="1"/>
    <xf numFmtId="0" fontId="4" fillId="0" borderId="0" xfId="0" applyFont="1"/>
    <xf numFmtId="165" fontId="5" fillId="3" borderId="0" xfId="0" applyNumberFormat="1" applyFont="1" applyFill="1" applyAlignment="1">
      <alignment horizontal="right"/>
    </xf>
    <xf numFmtId="1" fontId="5" fillId="3" borderId="0" xfId="0" applyNumberFormat="1" applyFont="1" applyFill="1" applyAlignment="1">
      <alignment horizontal="right"/>
    </xf>
    <xf numFmtId="1" fontId="4" fillId="0" borderId="0" xfId="0" applyNumberFormat="1" applyFont="1" applyAlignment="1">
      <alignment horizontal="right"/>
    </xf>
    <xf numFmtId="165" fontId="4" fillId="0" borderId="0" xfId="0" applyNumberFormat="1" applyFont="1" applyAlignment="1">
      <alignment horizontal="right"/>
    </xf>
    <xf numFmtId="166" fontId="4" fillId="0" borderId="0" xfId="0" applyNumberFormat="1" applyFont="1" applyAlignment="1">
      <alignment horizontal="right"/>
    </xf>
    <xf numFmtId="167" fontId="5" fillId="3" borderId="0" xfId="0" applyNumberFormat="1" applyFont="1" applyFill="1" applyAlignment="1">
      <alignment horizontal="right"/>
    </xf>
    <xf numFmtId="168" fontId="5" fillId="3" borderId="0" xfId="0" applyNumberFormat="1" applyFont="1" applyFill="1" applyAlignment="1">
      <alignment horizontal="right"/>
    </xf>
    <xf numFmtId="168" fontId="4" fillId="0" borderId="0" xfId="0" applyNumberFormat="1" applyFont="1" applyAlignment="1">
      <alignment horizontal="right"/>
    </xf>
    <xf numFmtId="169" fontId="4" fillId="0" borderId="0" xfId="0" applyNumberFormat="1" applyFont="1" applyAlignment="1">
      <alignment horizontal="right"/>
    </xf>
    <xf numFmtId="169" fontId="5" fillId="3" borderId="0" xfId="0" applyNumberFormat="1" applyFont="1" applyFill="1" applyAlignment="1">
      <alignment horizontal="right"/>
    </xf>
    <xf numFmtId="169" fontId="6" fillId="0" borderId="0" xfId="0" applyNumberFormat="1" applyFont="1" applyAlignment="1">
      <alignment horizontal="right"/>
    </xf>
    <xf numFmtId="166" fontId="5" fillId="3" borderId="0" xfId="0" applyNumberFormat="1" applyFont="1" applyFill="1" applyAlignment="1">
      <alignment horizontal="right"/>
    </xf>
    <xf numFmtId="170" fontId="5" fillId="3" borderId="0" xfId="0" applyNumberFormat="1" applyFont="1" applyFill="1" applyAlignment="1">
      <alignment horizontal="right"/>
    </xf>
    <xf numFmtId="0" fontId="9" fillId="0" borderId="0" xfId="0" applyFont="1" applyAlignment="1">
      <alignment horizontal="right"/>
    </xf>
    <xf numFmtId="1" fontId="10" fillId="0" borderId="0" xfId="0" applyNumberFormat="1" applyFont="1" applyAlignment="1">
      <alignment horizontal="right"/>
    </xf>
    <xf numFmtId="0" fontId="6" fillId="0" borderId="1" xfId="0" applyFont="1" applyBorder="1" applyAlignment="1">
      <alignment horizontal="center"/>
    </xf>
    <xf numFmtId="0" fontId="3" fillId="4" borderId="0" xfId="0" applyFont="1" applyFill="1" applyAlignment="1">
      <alignment horizontal="right"/>
    </xf>
    <xf numFmtId="0" fontId="4" fillId="0" borderId="0" xfId="0" applyFont="1" applyAlignment="1">
      <alignment indent="1"/>
    </xf>
    <xf numFmtId="0" fontId="2" fillId="0" borderId="0" xfId="0" applyFont="1" applyAlignment="1">
      <alignment horizontal="center"/>
    </xf>
    <xf numFmtId="169" fontId="5" fillId="0" borderId="0" xfId="0" applyNumberFormat="1" applyFont="1" applyAlignment="1">
      <alignment horizontal="right"/>
    </xf>
    <xf numFmtId="0" fontId="6" fillId="0" borderId="2" xfId="0" applyFont="1" applyBorder="1"/>
    <xf numFmtId="0" fontId="2" fillId="0" borderId="2" xfId="0" applyFont="1" applyBorder="1" applyAlignment="1">
      <alignment horizontal="center"/>
    </xf>
    <xf numFmtId="0" fontId="0" fillId="0" borderId="2" xfId="0" applyBorder="1"/>
    <xf numFmtId="169" fontId="6" fillId="0" borderId="2" xfId="0" applyNumberFormat="1" applyFont="1" applyBorder="1" applyAlignment="1">
      <alignment horizontal="right"/>
    </xf>
    <xf numFmtId="0" fontId="11" fillId="0" borderId="0" xfId="0" applyFont="1"/>
    <xf numFmtId="168" fontId="11" fillId="0" borderId="0" xfId="0" applyNumberFormat="1" applyFont="1" applyAlignment="1">
      <alignment horizontal="right"/>
    </xf>
    <xf numFmtId="168" fontId="5" fillId="0" borderId="0" xfId="0" applyNumberFormat="1" applyFont="1" applyAlignment="1">
      <alignment horizontal="right"/>
    </xf>
    <xf numFmtId="167" fontId="5" fillId="0" borderId="0" xfId="0" applyNumberFormat="1" applyFont="1" applyAlignment="1">
      <alignment horizontal="right"/>
    </xf>
    <xf numFmtId="166" fontId="11" fillId="0" borderId="0" xfId="0" applyNumberFormat="1" applyFont="1" applyAlignment="1">
      <alignment horizontal="right"/>
    </xf>
    <xf numFmtId="167" fontId="11" fillId="0" borderId="0" xfId="0" applyNumberFormat="1" applyFont="1" applyAlignment="1">
      <alignment horizontal="right"/>
    </xf>
    <xf numFmtId="169" fontId="11" fillId="0" borderId="0" xfId="0" applyNumberFormat="1" applyFont="1" applyAlignment="1">
      <alignment horizontal="right"/>
    </xf>
    <xf numFmtId="171" fontId="11" fillId="0" borderId="0" xfId="0" applyNumberFormat="1" applyFont="1" applyAlignment="1">
      <alignment horizontal="right"/>
    </xf>
    <xf numFmtId="170" fontId="11" fillId="0" borderId="0" xfId="0" applyNumberFormat="1" applyFont="1" applyAlignment="1">
      <alignment horizontal="right"/>
    </xf>
    <xf numFmtId="167" fontId="4" fillId="0" borderId="0" xfId="0" applyNumberFormat="1" applyFont="1" applyAlignment="1">
      <alignment horizontal="right"/>
    </xf>
    <xf numFmtId="0" fontId="3" fillId="2" borderId="0" xfId="0" applyFont="1" applyFill="1" applyAlignment="1">
      <alignment horizontal="right"/>
    </xf>
    <xf numFmtId="0" fontId="12" fillId="0" borderId="0" xfId="0" applyFont="1"/>
    <xf numFmtId="1" fontId="13" fillId="0" borderId="0" xfId="0" applyNumberFormat="1" applyFont="1" applyAlignment="1">
      <alignment horizontal="right"/>
    </xf>
    <xf numFmtId="166" fontId="13" fillId="0" borderId="0" xfId="0" applyNumberFormat="1" applyFont="1" applyAlignment="1">
      <alignment horizontal="right"/>
    </xf>
    <xf numFmtId="166" fontId="2" fillId="0" borderId="0" xfId="0" applyNumberFormat="1" applyFont="1"/>
    <xf numFmtId="169" fontId="13" fillId="0" borderId="0" xfId="0" applyNumberFormat="1" applyFont="1" applyAlignment="1">
      <alignment horizontal="right"/>
    </xf>
    <xf numFmtId="169" fontId="2" fillId="0" borderId="0" xfId="0" applyNumberFormat="1" applyFont="1"/>
    <xf numFmtId="170" fontId="13" fillId="0" borderId="0" xfId="0" applyNumberFormat="1" applyFont="1" applyAlignment="1">
      <alignment horizontal="right"/>
    </xf>
    <xf numFmtId="170" fontId="2" fillId="0" borderId="0" xfId="0" applyNumberFormat="1" applyFont="1"/>
    <xf numFmtId="168" fontId="2" fillId="0" borderId="0" xfId="0" applyNumberFormat="1" applyFont="1"/>
    <xf numFmtId="0" fontId="0" fillId="0" borderId="3" xfId="0" applyBorder="1"/>
    <xf numFmtId="0" fontId="6" fillId="0" borderId="3" xfId="0" applyFont="1" applyBorder="1" applyAlignment="1">
      <alignment horizontal="right"/>
    </xf>
    <xf numFmtId="166" fontId="5" fillId="3" borderId="0" xfId="0" applyNumberFormat="1" applyFont="1" applyFill="1"/>
    <xf numFmtId="166" fontId="6" fillId="5" borderId="0" xfId="0" applyNumberFormat="1" applyFont="1" applyFill="1"/>
    <xf numFmtId="169" fontId="5" fillId="3" borderId="0" xfId="0" applyNumberFormat="1" applyFont="1" applyFill="1"/>
    <xf numFmtId="169" fontId="6" fillId="5" borderId="0" xfId="0" applyNumberFormat="1" applyFont="1" applyFill="1"/>
    <xf numFmtId="170" fontId="5" fillId="3" borderId="0" xfId="0" applyNumberFormat="1" applyFont="1" applyFill="1"/>
    <xf numFmtId="170" fontId="6" fillId="5" borderId="0" xfId="0" applyNumberFormat="1" applyFont="1" applyFill="1"/>
    <xf numFmtId="166" fontId="6" fillId="0" borderId="0" xfId="0" applyNumberFormat="1" applyFont="1"/>
    <xf numFmtId="170" fontId="4" fillId="0" borderId="0" xfId="0" applyNumberFormat="1" applyFont="1" applyAlignment="1">
      <alignment horizontal="right"/>
    </xf>
    <xf numFmtId="171" fontId="5" fillId="3" borderId="0" xfId="0" applyNumberFormat="1" applyFont="1" applyFill="1"/>
    <xf numFmtId="171" fontId="6" fillId="5" borderId="0" xfId="0" applyNumberFormat="1" applyFont="1" applyFill="1"/>
    <xf numFmtId="1" fontId="5" fillId="3" borderId="0" xfId="0" applyNumberFormat="1" applyFont="1" applyFill="1"/>
    <xf numFmtId="1" fontId="6" fillId="5" borderId="0" xfId="0" applyNumberFormat="1" applyFont="1" applyFill="1"/>
    <xf numFmtId="0" fontId="11" fillId="0" borderId="0" xfId="0" applyFont="1" applyAlignment="1">
      <alignment indent="1"/>
    </xf>
    <xf numFmtId="169" fontId="15" fillId="0" borderId="0" xfId="0" applyNumberFormat="1" applyFont="1" applyAlignment="1">
      <alignment horizontal="right"/>
    </xf>
    <xf numFmtId="168" fontId="13" fillId="0" borderId="0" xfId="0" applyNumberFormat="1" applyFont="1" applyAlignment="1">
      <alignment horizontal="right"/>
    </xf>
    <xf numFmtId="169" fontId="16" fillId="0" borderId="2" xfId="0" applyNumberFormat="1" applyFont="1" applyBorder="1" applyAlignment="1">
      <alignment horizontal="right"/>
    </xf>
    <xf numFmtId="0" fontId="6" fillId="5" borderId="0" xfId="0" applyFont="1" applyFill="1"/>
    <xf numFmtId="0" fontId="2" fillId="5" borderId="0" xfId="0" applyFont="1" applyFill="1" applyAlignment="1">
      <alignment horizontal="center"/>
    </xf>
    <xf numFmtId="0" fontId="0" fillId="5" borderId="0" xfId="0" applyFill="1"/>
    <xf numFmtId="169" fontId="6" fillId="5" borderId="0" xfId="0" applyNumberFormat="1" applyFont="1" applyFill="1" applyAlignment="1">
      <alignment horizontal="right"/>
    </xf>
    <xf numFmtId="0" fontId="11" fillId="0" borderId="0" xfId="0" applyFont="1" applyAlignment="1">
      <alignment indent="2"/>
    </xf>
    <xf numFmtId="167" fontId="6" fillId="0" borderId="0" xfId="0" applyNumberFormat="1" applyFont="1" applyAlignment="1">
      <alignment horizontal="right"/>
    </xf>
    <xf numFmtId="167" fontId="13" fillId="0" borderId="0" xfId="0" applyNumberFormat="1" applyFont="1" applyAlignment="1">
      <alignment horizontal="right"/>
    </xf>
    <xf numFmtId="166" fontId="6" fillId="0" borderId="0" xfId="0" applyNumberFormat="1" applyFont="1" applyAlignment="1">
      <alignment horizontal="right"/>
    </xf>
    <xf numFmtId="169" fontId="16" fillId="5" borderId="0" xfId="0" applyNumberFormat="1" applyFont="1" applyFill="1" applyAlignment="1">
      <alignment horizontal="right"/>
    </xf>
    <xf numFmtId="168" fontId="2" fillId="0" borderId="0" xfId="0" applyNumberFormat="1" applyFont="1" applyAlignment="1">
      <alignment horizontal="right"/>
    </xf>
    <xf numFmtId="171" fontId="4" fillId="0" borderId="0" xfId="0" applyNumberFormat="1" applyFont="1" applyAlignment="1">
      <alignment horizontal="right"/>
    </xf>
    <xf numFmtId="166" fontId="6" fillId="5" borderId="0" xfId="0" applyNumberFormat="1" applyFont="1" applyFill="1" applyAlignment="1">
      <alignment horizontal="right"/>
    </xf>
    <xf numFmtId="170" fontId="6" fillId="0" borderId="0" xfId="0" applyNumberFormat="1" applyFont="1" applyAlignment="1">
      <alignment horizontal="right"/>
    </xf>
    <xf numFmtId="172" fontId="5" fillId="3" borderId="0" xfId="0" applyNumberFormat="1" applyFont="1" applyFill="1" applyAlignment="1">
      <alignment horizontal="right"/>
    </xf>
    <xf numFmtId="0" fontId="13" fillId="0" borderId="0" xfId="0" applyFont="1"/>
    <xf numFmtId="173" fontId="5" fillId="3" borderId="0" xfId="0" applyNumberFormat="1" applyFont="1" applyFill="1"/>
    <xf numFmtId="173" fontId="4" fillId="0" borderId="0" xfId="0" applyNumberFormat="1" applyFont="1"/>
    <xf numFmtId="173" fontId="4" fillId="0" borderId="0" xfId="0" applyNumberFormat="1" applyFont="1" applyAlignment="1">
      <alignment horizontal="right"/>
    </xf>
    <xf numFmtId="173" fontId="6" fillId="0" borderId="2" xfId="0" applyNumberFormat="1" applyFont="1" applyBorder="1"/>
    <xf numFmtId="166" fontId="6" fillId="0" borderId="2" xfId="0" applyNumberFormat="1" applyFont="1" applyBorder="1"/>
    <xf numFmtId="166" fontId="4" fillId="0" borderId="0" xfId="0" applyNumberFormat="1" applyFont="1"/>
    <xf numFmtId="172" fontId="6" fillId="5" borderId="0" xfId="0" applyNumberFormat="1" applyFont="1" applyFill="1" applyAlignment="1">
      <alignment horizontal="right"/>
    </xf>
    <xf numFmtId="172" fontId="4" fillId="0" borderId="0" xfId="0" applyNumberFormat="1" applyFont="1" applyAlignment="1">
      <alignment horizontal="right"/>
    </xf>
    <xf numFmtId="172" fontId="6" fillId="0" borderId="0" xfId="0" applyNumberFormat="1" applyFont="1" applyAlignment="1">
      <alignment horizontal="right"/>
    </xf>
    <xf numFmtId="172" fontId="5" fillId="3" borderId="0" xfId="0" applyNumberFormat="1" applyFont="1" applyFill="1"/>
    <xf numFmtId="0" fontId="4" fillId="0" borderId="4" xfId="0" applyFont="1" applyBorder="1"/>
    <xf numFmtId="0" fontId="0" fillId="0" borderId="5" xfId="0" applyBorder="1"/>
    <xf numFmtId="172" fontId="13" fillId="0" borderId="6" xfId="0" applyNumberFormat="1" applyFont="1" applyBorder="1" applyAlignment="1">
      <alignment horizontal="right"/>
    </xf>
    <xf numFmtId="0" fontId="4" fillId="0" borderId="7" xfId="0" applyFont="1" applyBorder="1"/>
    <xf numFmtId="0" fontId="0" fillId="0" borderId="8" xfId="0" applyBorder="1"/>
    <xf numFmtId="172" fontId="13" fillId="0" borderId="9" xfId="0" applyNumberFormat="1" applyFont="1" applyBorder="1" applyAlignment="1">
      <alignment horizontal="right"/>
    </xf>
    <xf numFmtId="166" fontId="13" fillId="0" borderId="9" xfId="0" applyNumberFormat="1" applyFont="1" applyBorder="1" applyAlignment="1">
      <alignment horizontal="right"/>
    </xf>
    <xf numFmtId="165" fontId="13" fillId="0" borderId="9" xfId="0" applyNumberFormat="1" applyFont="1" applyBorder="1" applyAlignment="1">
      <alignment horizontal="right"/>
    </xf>
    <xf numFmtId="0" fontId="4" fillId="0" borderId="9" xfId="0" applyFont="1" applyBorder="1" applyAlignment="1">
      <alignment horizontal="right"/>
    </xf>
    <xf numFmtId="0" fontId="13" fillId="0" borderId="9" xfId="0" applyFont="1" applyBorder="1" applyAlignment="1">
      <alignment horizontal="right"/>
    </xf>
    <xf numFmtId="0" fontId="4" fillId="0" borderId="10" xfId="0" applyFont="1" applyBorder="1"/>
    <xf numFmtId="0" fontId="0" fillId="0" borderId="11" xfId="0" applyBorder="1"/>
    <xf numFmtId="0" fontId="4" fillId="0" borderId="12" xfId="0" applyFont="1" applyBorder="1" applyAlignment="1">
      <alignment horizontal="right"/>
    </xf>
    <xf numFmtId="169" fontId="4" fillId="0" borderId="0" xfId="0" applyNumberFormat="1" applyFont="1"/>
    <xf numFmtId="166" fontId="11" fillId="0" borderId="0" xfId="0" applyNumberFormat="1" applyFont="1"/>
    <xf numFmtId="169" fontId="6" fillId="0" borderId="2" xfId="0" applyNumberFormat="1" applyFont="1" applyBorder="1"/>
    <xf numFmtId="166" fontId="15" fillId="0" borderId="0" xfId="0" applyNumberFormat="1" applyFont="1"/>
    <xf numFmtId="166" fontId="15" fillId="0" borderId="0" xfId="0" applyNumberFormat="1" applyFont="1" applyAlignment="1">
      <alignment horizontal="right"/>
    </xf>
    <xf numFmtId="2" fontId="4" fillId="0" borderId="0" xfId="0" applyNumberFormat="1" applyFont="1" applyAlignment="1">
      <alignment horizontal="right"/>
    </xf>
    <xf numFmtId="169" fontId="6" fillId="5" borderId="2" xfId="0" applyNumberFormat="1" applyFont="1" applyFill="1" applyBorder="1" applyAlignment="1">
      <alignment horizontal="right"/>
    </xf>
    <xf numFmtId="169" fontId="2" fillId="0" borderId="0" xfId="0" applyNumberFormat="1" applyFont="1" applyAlignment="1">
      <alignment horizontal="right"/>
    </xf>
    <xf numFmtId="167" fontId="6" fillId="5" borderId="2" xfId="0" applyNumberFormat="1" applyFont="1" applyFill="1" applyBorder="1" applyAlignment="1">
      <alignment horizontal="right"/>
    </xf>
    <xf numFmtId="166" fontId="6" fillId="5" borderId="2" xfId="0" applyNumberFormat="1" applyFont="1" applyFill="1" applyBorder="1" applyAlignment="1">
      <alignment horizontal="right"/>
    </xf>
    <xf numFmtId="0" fontId="17" fillId="5" borderId="2" xfId="0" applyFont="1" applyFill="1" applyBorder="1" applyAlignment="1">
      <alignment horizontal="right"/>
    </xf>
    <xf numFmtId="1" fontId="4" fillId="6" borderId="0" xfId="0" applyNumberFormat="1" applyFont="1" applyFill="1"/>
    <xf numFmtId="166" fontId="4" fillId="6" borderId="0" xfId="0" applyNumberFormat="1" applyFont="1" applyFill="1"/>
    <xf numFmtId="0" fontId="6" fillId="5" borderId="0" xfId="0" applyFont="1" applyFill="1" applyAlignment="1">
      <alignment horizontal="center"/>
    </xf>
    <xf numFmtId="172" fontId="3" fillId="2" borderId="0" xfId="0" applyNumberFormat="1" applyFont="1" applyFill="1" applyAlignment="1">
      <alignment horizontal="center"/>
    </xf>
    <xf numFmtId="167" fontId="4" fillId="0" borderId="0" xfId="0" applyNumberFormat="1" applyFont="1" applyAlignment="1">
      <alignment horizontal="center"/>
    </xf>
    <xf numFmtId="167" fontId="18" fillId="0" borderId="13" xfId="0" applyNumberFormat="1" applyFont="1" applyBorder="1" applyAlignment="1">
      <alignment horizontal="center"/>
    </xf>
    <xf numFmtId="170" fontId="3" fillId="2" borderId="0" xfId="0" applyNumberFormat="1" applyFont="1" applyFill="1" applyAlignment="1">
      <alignment horizontal="center"/>
    </xf>
    <xf numFmtId="174" fontId="16" fillId="5" borderId="0" xfId="0" applyNumberFormat="1" applyFont="1" applyFill="1" applyAlignment="1">
      <alignment horizontal="center"/>
    </xf>
    <xf numFmtId="175" fontId="3" fillId="2" borderId="0" xfId="0" applyNumberFormat="1" applyFont="1" applyFill="1" applyAlignment="1">
      <alignment horizontal="center"/>
    </xf>
    <xf numFmtId="0" fontId="6" fillId="0" borderId="3" xfId="0" applyFont="1" applyBorder="1" applyAlignment="1">
      <alignment horizontal="center"/>
    </xf>
    <xf numFmtId="0" fontId="6" fillId="0" borderId="3" xfId="0" applyFont="1" applyBorder="1" applyAlignment="1">
      <alignment horizontal="center" vertical="center" wrapText="1"/>
    </xf>
    <xf numFmtId="166" fontId="2" fillId="0" borderId="0" xfId="0" applyNumberFormat="1" applyFont="1" applyAlignment="1">
      <alignment horizontal="center"/>
    </xf>
    <xf numFmtId="169" fontId="2" fillId="0" borderId="0" xfId="0" applyNumberFormat="1" applyFont="1" applyAlignment="1">
      <alignment horizontal="center"/>
    </xf>
    <xf numFmtId="167" fontId="2" fillId="0" borderId="0" xfId="0" applyNumberFormat="1" applyFont="1" applyAlignment="1">
      <alignment horizontal="center"/>
    </xf>
    <xf numFmtId="1" fontId="5" fillId="3" borderId="0" xfId="0" applyNumberFormat="1" applyFont="1" applyFill="1" applyAlignment="1">
      <alignment horizontal="center"/>
    </xf>
    <xf numFmtId="166" fontId="4" fillId="0" borderId="0" xfId="0" applyNumberFormat="1" applyFont="1" applyAlignment="1">
      <alignment horizontal="center"/>
    </xf>
    <xf numFmtId="169" fontId="4" fillId="0" borderId="0" xfId="0" applyNumberFormat="1" applyFont="1" applyAlignment="1">
      <alignment horizontal="center"/>
    </xf>
    <xf numFmtId="167" fontId="6" fillId="0" borderId="0" xfId="0" applyNumberFormat="1" applyFont="1" applyAlignment="1">
      <alignment horizontal="center"/>
    </xf>
    <xf numFmtId="0" fontId="6" fillId="0" borderId="0" xfId="0" applyFont="1" applyAlignment="1">
      <alignment horizontal="center"/>
    </xf>
    <xf numFmtId="167" fontId="6" fillId="5" borderId="0" xfId="0" applyNumberFormat="1" applyFont="1" applyFill="1"/>
    <xf numFmtId="175" fontId="5" fillId="3" borderId="0" xfId="0" applyNumberFormat="1" applyFont="1" applyFill="1" applyAlignment="1">
      <alignment horizontal="center"/>
    </xf>
    <xf numFmtId="0" fontId="6" fillId="0" borderId="0" xfId="0" applyFont="1" applyAlignment="1">
      <alignment horizontal="right"/>
    </xf>
    <xf numFmtId="0" fontId="6" fillId="0" borderId="14" xfId="0" applyFont="1" applyBorder="1"/>
    <xf numFmtId="0" fontId="2" fillId="0" borderId="14" xfId="0" applyFont="1" applyBorder="1" applyAlignment="1">
      <alignment horizontal="right"/>
    </xf>
    <xf numFmtId="0" fontId="16" fillId="0" borderId="14" xfId="0" applyFont="1" applyBorder="1" applyAlignment="1">
      <alignment horizontal="right"/>
    </xf>
    <xf numFmtId="0" fontId="5" fillId="3" borderId="0" xfId="0" applyFont="1" applyFill="1"/>
    <xf numFmtId="0" fontId="5" fillId="3" borderId="0" xfId="0" applyFont="1" applyFill="1" applyAlignment="1">
      <alignment horizontal="center"/>
    </xf>
    <xf numFmtId="0" fontId="4" fillId="0" borderId="2" xfId="0" applyFont="1" applyBorder="1"/>
    <xf numFmtId="169" fontId="4" fillId="0" borderId="2" xfId="0" applyNumberFormat="1" applyFont="1" applyBorder="1"/>
    <xf numFmtId="171" fontId="4" fillId="0" borderId="2" xfId="0" applyNumberFormat="1" applyFont="1" applyBorder="1"/>
    <xf numFmtId="170" fontId="4" fillId="0" borderId="2" xfId="0" applyNumberFormat="1" applyFont="1" applyBorder="1"/>
    <xf numFmtId="166" fontId="4" fillId="0" borderId="2" xfId="0" applyNumberFormat="1" applyFont="1" applyBorder="1"/>
    <xf numFmtId="171" fontId="4" fillId="0" borderId="0" xfId="0" applyNumberFormat="1" applyFont="1"/>
    <xf numFmtId="170" fontId="4" fillId="0" borderId="0" xfId="0" applyNumberFormat="1" applyFont="1"/>
    <xf numFmtId="0" fontId="9" fillId="0" borderId="15" xfId="0" applyFont="1" applyBorder="1"/>
    <xf numFmtId="0" fontId="4" fillId="0" borderId="15" xfId="0" applyFont="1" applyBorder="1"/>
    <xf numFmtId="169" fontId="16" fillId="0" borderId="15" xfId="0" applyNumberFormat="1" applyFont="1" applyBorder="1"/>
    <xf numFmtId="169" fontId="6" fillId="0" borderId="15" xfId="0" applyNumberFormat="1" applyFont="1" applyBorder="1"/>
    <xf numFmtId="171" fontId="16" fillId="0" borderId="15" xfId="0" applyNumberFormat="1" applyFont="1" applyBorder="1"/>
    <xf numFmtId="170" fontId="16" fillId="0" borderId="15" xfId="0" applyNumberFormat="1" applyFont="1" applyBorder="1"/>
    <xf numFmtId="166" fontId="16" fillId="0" borderId="15" xfId="0" applyNumberFormat="1" applyFont="1" applyBorder="1"/>
    <xf numFmtId="175" fontId="11" fillId="0" borderId="0" xfId="0" applyNumberFormat="1" applyFont="1"/>
    <xf numFmtId="1" fontId="13" fillId="0" borderId="0" xfId="0" applyNumberFormat="1" applyFont="1"/>
    <xf numFmtId="0" fontId="6" fillId="0" borderId="0" xfId="0" applyFont="1" applyAlignment="1">
      <alignment horizontal="left" indent="1"/>
    </xf>
    <xf numFmtId="0" fontId="6" fillId="0" borderId="3" xfId="0" applyFont="1" applyBorder="1" applyAlignment="1">
      <alignment vertical="center" wrapText="1"/>
    </xf>
    <xf numFmtId="0" fontId="6" fillId="0" borderId="3" xfId="0" applyFont="1" applyBorder="1" applyAlignment="1">
      <alignment horizontal="right" vertical="center" wrapText="1"/>
    </xf>
    <xf numFmtId="167" fontId="4" fillId="0" borderId="0" xfId="0" applyNumberFormat="1" applyFont="1"/>
    <xf numFmtId="167" fontId="6" fillId="5" borderId="2" xfId="0" applyNumberFormat="1" applyFont="1" applyFill="1" applyBorder="1"/>
    <xf numFmtId="0" fontId="16" fillId="0" borderId="0" xfId="0" applyFont="1"/>
    <xf numFmtId="0" fontId="6" fillId="0" borderId="14" xfId="0" applyFont="1" applyBorder="1" applyAlignment="1">
      <alignment horizontal="right"/>
    </xf>
    <xf numFmtId="0" fontId="2" fillId="0" borderId="0" xfId="0" applyFont="1" applyAlignment="1">
      <alignment indent="1"/>
    </xf>
    <xf numFmtId="167" fontId="6" fillId="0" borderId="0" xfId="0" applyNumberFormat="1" applyFont="1"/>
    <xf numFmtId="175" fontId="11" fillId="0" borderId="0" xfId="0" applyNumberFormat="1" applyFont="1" applyAlignment="1">
      <alignment horizontal="right"/>
    </xf>
    <xf numFmtId="172" fontId="13" fillId="0" borderId="0" xfId="0" applyNumberFormat="1" applyFont="1" applyAlignment="1">
      <alignment horizontal="right"/>
    </xf>
    <xf numFmtId="167" fontId="13" fillId="0" borderId="0" xfId="0" applyNumberFormat="1" applyFont="1"/>
    <xf numFmtId="166" fontId="13" fillId="0" borderId="0" xfId="0" applyNumberFormat="1" applyFont="1"/>
    <xf numFmtId="175" fontId="8" fillId="3" borderId="0" xfId="0" applyNumberFormat="1" applyFont="1" applyFill="1"/>
    <xf numFmtId="168" fontId="4" fillId="0" borderId="0" xfId="0" applyNumberFormat="1" applyFont="1"/>
    <xf numFmtId="168" fontId="13" fillId="0" borderId="0" xfId="0" applyNumberFormat="1" applyFont="1"/>
    <xf numFmtId="176" fontId="6" fillId="5" borderId="0" xfId="0" applyNumberFormat="1" applyFont="1" applyFill="1"/>
    <xf numFmtId="1" fontId="4" fillId="0" borderId="0" xfId="0" applyNumberFormat="1" applyFont="1"/>
    <xf numFmtId="175" fontId="4" fillId="0" borderId="0" xfId="0" applyNumberFormat="1" applyFont="1"/>
    <xf numFmtId="172" fontId="4" fillId="0" borderId="0" xfId="0" applyNumberFormat="1" applyFont="1"/>
    <xf numFmtId="1" fontId="8" fillId="0" borderId="0" xfId="0" applyNumberFormat="1" applyFont="1"/>
    <xf numFmtId="177" fontId="4" fillId="0" borderId="0" xfId="0" applyNumberFormat="1" applyFont="1"/>
    <xf numFmtId="172" fontId="6" fillId="5" borderId="2" xfId="0" applyNumberFormat="1" applyFont="1" applyFill="1" applyBorder="1"/>
    <xf numFmtId="0" fontId="5" fillId="3" borderId="0" xfId="0" applyFont="1" applyFill="1" applyAlignment="1">
      <alignment horizontal="left"/>
    </xf>
    <xf numFmtId="165" fontId="5" fillId="3" borderId="0" xfId="0" applyNumberFormat="1" applyFont="1" applyFill="1"/>
    <xf numFmtId="169" fontId="13" fillId="0" borderId="0" xfId="0" applyNumberFormat="1" applyFont="1"/>
    <xf numFmtId="175" fontId="6" fillId="0" borderId="0" xfId="0" applyNumberFormat="1" applyFont="1"/>
    <xf numFmtId="167" fontId="5" fillId="3" borderId="0" xfId="0" applyNumberFormat="1" applyFont="1" applyFill="1"/>
    <xf numFmtId="0" fontId="11" fillId="0" borderId="2" xfId="0" applyFont="1" applyBorder="1"/>
    <xf numFmtId="166" fontId="11" fillId="0" borderId="2" xfId="0" applyNumberFormat="1" applyFont="1" applyBorder="1"/>
    <xf numFmtId="175" fontId="11" fillId="0" borderId="2" xfId="0" applyNumberFormat="1" applyFont="1" applyBorder="1"/>
    <xf numFmtId="0" fontId="9" fillId="0" borderId="0" xfId="0" applyFont="1"/>
    <xf numFmtId="0" fontId="21" fillId="0" borderId="2" xfId="0" applyFont="1" applyBorder="1"/>
    <xf numFmtId="166" fontId="13" fillId="0" borderId="2" xfId="0" applyNumberFormat="1" applyFont="1" applyBorder="1" applyAlignment="1">
      <alignment horizontal="right"/>
    </xf>
    <xf numFmtId="167" fontId="16" fillId="0" borderId="2" xfId="0" applyNumberFormat="1" applyFont="1" applyBorder="1" applyAlignment="1">
      <alignment horizontal="right"/>
    </xf>
    <xf numFmtId="175" fontId="4" fillId="0" borderId="2" xfId="0" applyNumberFormat="1" applyFont="1" applyBorder="1" applyAlignment="1">
      <alignment horizontal="right"/>
    </xf>
    <xf numFmtId="167" fontId="13" fillId="0" borderId="2" xfId="0" applyNumberFormat="1" applyFont="1" applyBorder="1" applyAlignment="1">
      <alignment horizontal="right"/>
    </xf>
    <xf numFmtId="0" fontId="16" fillId="0" borderId="2" xfId="0" applyFont="1" applyBorder="1" applyAlignment="1">
      <alignment horizontal="right"/>
    </xf>
    <xf numFmtId="0" fontId="9" fillId="0" borderId="2" xfId="0" applyFont="1" applyBorder="1"/>
    <xf numFmtId="0" fontId="22" fillId="0" borderId="2" xfId="0" applyFont="1" applyBorder="1"/>
    <xf numFmtId="171" fontId="13" fillId="0" borderId="0" xfId="0" applyNumberFormat="1" applyFont="1"/>
    <xf numFmtId="1" fontId="6" fillId="0" borderId="0" xfId="0" applyNumberFormat="1" applyFont="1" applyAlignment="1">
      <alignment horizontal="right"/>
    </xf>
    <xf numFmtId="0" fontId="24" fillId="2" borderId="3" xfId="0" applyFont="1" applyFill="1" applyBorder="1" applyAlignment="1">
      <alignment horizontal="center"/>
    </xf>
    <xf numFmtId="0" fontId="2" fillId="0" borderId="14" xfId="0" applyFont="1" applyBorder="1"/>
    <xf numFmtId="167" fontId="6" fillId="0" borderId="3" xfId="0" applyNumberFormat="1" applyFont="1" applyBorder="1" applyAlignment="1">
      <alignment horizontal="right"/>
    </xf>
    <xf numFmtId="169" fontId="6" fillId="0" borderId="0" xfId="0" applyNumberFormat="1" applyFont="1"/>
    <xf numFmtId="167" fontId="4" fillId="0" borderId="3" xfId="0" applyNumberFormat="1" applyFont="1" applyBorder="1" applyAlignment="1">
      <alignment horizontal="right"/>
    </xf>
    <xf numFmtId="166" fontId="6" fillId="0" borderId="3" xfId="0" applyNumberFormat="1" applyFont="1" applyBorder="1" applyAlignment="1">
      <alignment horizontal="right"/>
    </xf>
    <xf numFmtId="166" fontId="4" fillId="0" borderId="3" xfId="0" applyNumberFormat="1" applyFont="1" applyBorder="1" applyAlignment="1">
      <alignment horizontal="right"/>
    </xf>
    <xf numFmtId="169" fontId="4" fillId="0" borderId="3" xfId="0" applyNumberFormat="1" applyFont="1" applyBorder="1" applyAlignment="1">
      <alignment horizontal="right"/>
    </xf>
    <xf numFmtId="172" fontId="4" fillId="0" borderId="3" xfId="0" applyNumberFormat="1" applyFont="1" applyBorder="1" applyAlignment="1">
      <alignment horizontal="right"/>
    </xf>
    <xf numFmtId="170" fontId="4" fillId="0" borderId="3" xfId="0" applyNumberFormat="1" applyFont="1" applyBorder="1" applyAlignment="1">
      <alignment horizontal="right"/>
    </xf>
    <xf numFmtId="175" fontId="4" fillId="0" borderId="3" xfId="0" applyNumberFormat="1" applyFont="1" applyBorder="1" applyAlignment="1">
      <alignment horizontal="right"/>
    </xf>
    <xf numFmtId="0" fontId="4" fillId="0" borderId="3" xfId="0" applyFont="1" applyBorder="1" applyAlignment="1">
      <alignment horizontal="right"/>
    </xf>
    <xf numFmtId="0" fontId="25" fillId="0" borderId="0" xfId="0" applyFont="1"/>
    <xf numFmtId="0" fontId="23" fillId="0" borderId="0" xfId="0" applyFont="1"/>
    <xf numFmtId="1" fontId="4" fillId="0" borderId="0" xfId="0" applyNumberFormat="1" applyFont="1" applyAlignment="1">
      <alignment horizontal="center"/>
    </xf>
    <xf numFmtId="0" fontId="4" fillId="0" borderId="0" xfId="0" applyFont="1" applyAlignment="1">
      <alignment vertical="center" wrapText="1"/>
    </xf>
    <xf numFmtId="0" fontId="0" fillId="0" borderId="0" xfId="0"/>
    <xf numFmtId="0" fontId="6" fillId="0" borderId="1" xfId="0" applyFont="1" applyBorder="1" applyAlignment="1">
      <alignment horizontal="center"/>
    </xf>
    <xf numFmtId="0" fontId="0" fillId="0" borderId="1" xfId="0" applyBorder="1"/>
    <xf numFmtId="0" fontId="3" fillId="2" borderId="0" xfId="0" applyFont="1" applyFill="1" applyAlignment="1">
      <alignment horizontal="center"/>
    </xf>
    <xf numFmtId="0" fontId="19" fillId="0" borderId="0" xfId="0" applyFont="1" applyAlignment="1">
      <alignment horizontal="left" vertical="center" wrapText="1"/>
    </xf>
    <xf numFmtId="0" fontId="9" fillId="0" borderId="0" xfId="0" applyFont="1" applyAlignment="1">
      <alignment horizontal="left" vertical="center" wrapText="1"/>
    </xf>
    <xf numFmtId="0" fontId="5" fillId="3" borderId="0" xfId="0" applyFont="1" applyFill="1" applyAlignment="1">
      <alignment horizontal="left" vertical="center" wrapText="1"/>
    </xf>
    <xf numFmtId="0" fontId="5" fillId="3" borderId="0" xfId="0" applyFont="1" applyFill="1" applyAlignment="1">
      <alignment horizontal="left"/>
    </xf>
    <xf numFmtId="0" fontId="20" fillId="3" borderId="0" xfId="0" applyFont="1" applyFill="1" applyAlignment="1">
      <alignment horizontal="left" vertical="center" wrapText="1"/>
    </xf>
    <xf numFmtId="0" fontId="9" fillId="0" borderId="0" xfId="0" applyFont="1"/>
    <xf numFmtId="0" fontId="4" fillId="0" borderId="0" xfId="0" applyFont="1"/>
  </cellXfs>
  <cellStyles count="1">
    <cellStyle name="Normal" xfId="0" builtinId="0"/>
  </cellStyles>
  <dxfs count="37">
    <dxf>
      <fill>
        <patternFill patternType="solid">
          <fgColor rgb="FFDCEBF2"/>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2828"/>
        </patternFill>
      </fill>
    </dxf>
    <dxf>
      <fill>
        <patternFill patternType="solid">
          <fgColor rgb="FFB7950B"/>
        </patternFill>
      </fill>
    </dxf>
    <dxf>
      <fill>
        <patternFill patternType="solid">
          <fgColor rgb="FF2E7D32"/>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ill>
        <patternFill patternType="solid">
          <fgColor rgb="FFC6EFCE"/>
        </patternFill>
      </fill>
    </dxf>
    <dxf>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bar"/>
        <c:grouping val="stacked"/>
        <c:varyColors val="1"/>
        <c:ser>
          <c:idx val="0"/>
          <c:order val="0"/>
          <c:tx>
            <c:v>Offset</c:v>
          </c:tx>
          <c:spPr>
            <a:noFill/>
            <a:ln>
              <a:noFill/>
              <a:prstDash val="solid"/>
            </a:ln>
          </c:spPr>
          <c:invertIfNegative val="1"/>
          <c:cat>
            <c:strRef>
              <c:f>Football!$I$5:$I$14</c:f>
              <c:strCache>
                <c:ptCount val="10"/>
                <c:pt idx="0">
                  <c:v>52-week trading range (101–135)</c:v>
                </c:pt>
                <c:pt idx="1">
                  <c:v>DCF – WACC ±0.5pp / g ±0.25pp (128–153)</c:v>
                </c:pt>
                <c:pt idx="2">
                  <c:v>DCF – Bear to Bull (62–201)</c:v>
                </c:pt>
                <c:pt idx="3">
                  <c:v>EV/EBITDA – peers (25th–75th pct) (108–143)</c:v>
                </c:pt>
                <c:pt idx="4">
                  <c:v>EV/EBIT – peers (25th–75th pct) (124–155)</c:v>
                </c:pt>
                <c:pt idx="5">
                  <c:v>P/E – peers (25th–75th pct) (129–158)</c:v>
                </c:pt>
                <c:pt idx="6">
                  <c:v>EV/Sales – peers (25th–75th pct) (71–110)</c:v>
                </c:pt>
                <c:pt idx="7">
                  <c:v>Current share price (122)</c:v>
                </c:pt>
                <c:pt idx="8">
                  <c:v>Fair value today (138)</c:v>
                </c:pt>
                <c:pt idx="9">
                  <c:v>12m target price – rolled forward (146)</c:v>
                </c:pt>
              </c:strCache>
            </c:strRef>
          </c:cat>
          <c:val>
            <c:numRef>
              <c:f>Football!$J$5:$J$14</c:f>
              <c:numCache>
                <c:formatCode>#,##0.00_);\(#,##0.00\);"–"_)</c:formatCode>
                <c:ptCount val="10"/>
                <c:pt idx="0">
                  <c:v>51.2</c:v>
                </c:pt>
                <c:pt idx="1">
                  <c:v>78.022450635838737</c:v>
                </c:pt>
                <c:pt idx="2">
                  <c:v>12.143148555295909</c:v>
                </c:pt>
                <c:pt idx="3">
                  <c:v>57.702655071262328</c:v>
                </c:pt>
                <c:pt idx="4">
                  <c:v>73.948374709843108</c:v>
                </c:pt>
                <c:pt idx="5">
                  <c:v>78.722403329276119</c:v>
                </c:pt>
                <c:pt idx="6">
                  <c:v>21.187710430776207</c:v>
                </c:pt>
                <c:pt idx="7">
                  <c:v>71.158385238912587</c:v>
                </c:pt>
                <c:pt idx="8">
                  <c:v>87.305296609246284</c:v>
                </c:pt>
                <c:pt idx="9">
                  <c:v>95.158385238912587</c:v>
                </c:pt>
              </c:numCache>
            </c:numRef>
          </c:val>
          <c:extLst>
            <c:ext xmlns:c16="http://schemas.microsoft.com/office/drawing/2014/chart" uri="{C3380CC4-5D6E-409C-BE32-E72D297353CC}">
              <c16:uniqueId val="{00000000-38A4-4FB6-BDEB-9530C72E5FE0}"/>
            </c:ext>
          </c:extLst>
        </c:ser>
        <c:ser>
          <c:idx val="1"/>
          <c:order val="1"/>
          <c:tx>
            <c:v>Range</c:v>
          </c:tx>
          <c:spPr>
            <a:solidFill>
              <a:srgbClr val="003255"/>
            </a:solidFill>
            <a:ln>
              <a:prstDash val="solid"/>
            </a:ln>
          </c:spPr>
          <c:invertIfNegative val="1"/>
          <c:dPt>
            <c:idx val="7"/>
            <c:invertIfNegative val="1"/>
            <c:bubble3D val="0"/>
            <c:spPr>
              <a:solidFill>
                <a:srgbClr val="C00000"/>
              </a:solidFill>
              <a:ln>
                <a:solidFill>
                  <a:srgbClr val="C00000"/>
                </a:solidFill>
                <a:prstDash val="solid"/>
              </a:ln>
            </c:spPr>
            <c:extLst>
              <c:ext xmlns:c16="http://schemas.microsoft.com/office/drawing/2014/chart" uri="{C3380CC4-5D6E-409C-BE32-E72D297353CC}">
                <c16:uniqueId val="{00000002-38A4-4FB6-BDEB-9530C72E5FE0}"/>
              </c:ext>
            </c:extLst>
          </c:dPt>
          <c:dPt>
            <c:idx val="8"/>
            <c:invertIfNegative val="1"/>
            <c:bubble3D val="0"/>
            <c:spPr>
              <a:solidFill>
                <a:srgbClr val="2E7D32"/>
              </a:solidFill>
              <a:ln>
                <a:solidFill>
                  <a:srgbClr val="2E7D32"/>
                </a:solidFill>
                <a:prstDash val="solid"/>
              </a:ln>
            </c:spPr>
            <c:extLst>
              <c:ext xmlns:c16="http://schemas.microsoft.com/office/drawing/2014/chart" uri="{C3380CC4-5D6E-409C-BE32-E72D297353CC}">
                <c16:uniqueId val="{00000004-38A4-4FB6-BDEB-9530C72E5FE0}"/>
              </c:ext>
            </c:extLst>
          </c:dPt>
          <c:dPt>
            <c:idx val="9"/>
            <c:invertIfNegative val="1"/>
            <c:bubble3D val="0"/>
            <c:spPr>
              <a:solidFill>
                <a:srgbClr val="81B0C0"/>
              </a:solidFill>
              <a:ln>
                <a:solidFill>
                  <a:srgbClr val="81B0C0"/>
                </a:solidFill>
                <a:prstDash val="solid"/>
              </a:ln>
            </c:spPr>
            <c:extLst>
              <c:ext xmlns:c16="http://schemas.microsoft.com/office/drawing/2014/chart" uri="{C3380CC4-5D6E-409C-BE32-E72D297353CC}">
                <c16:uniqueId val="{00000006-38A4-4FB6-BDEB-9530C72E5FE0}"/>
              </c:ext>
            </c:extLst>
          </c:dPt>
          <c:cat>
            <c:strRef>
              <c:f>Football!$I$5:$I$14</c:f>
              <c:strCache>
                <c:ptCount val="10"/>
                <c:pt idx="0">
                  <c:v>52-week trading range (101–135)</c:v>
                </c:pt>
                <c:pt idx="1">
                  <c:v>DCF – WACC ±0.5pp / g ±0.25pp (128–153)</c:v>
                </c:pt>
                <c:pt idx="2">
                  <c:v>DCF – Bear to Bull (62–201)</c:v>
                </c:pt>
                <c:pt idx="3">
                  <c:v>EV/EBITDA – peers (25th–75th pct) (108–143)</c:v>
                </c:pt>
                <c:pt idx="4">
                  <c:v>EV/EBIT – peers (25th–75th pct) (124–155)</c:v>
                </c:pt>
                <c:pt idx="5">
                  <c:v>P/E – peers (25th–75th pct) (129–158)</c:v>
                </c:pt>
                <c:pt idx="6">
                  <c:v>EV/Sales – peers (25th–75th pct) (71–110)</c:v>
                </c:pt>
                <c:pt idx="7">
                  <c:v>Current share price (122)</c:v>
                </c:pt>
                <c:pt idx="8">
                  <c:v>Fair value today (138)</c:v>
                </c:pt>
                <c:pt idx="9">
                  <c:v>12m target price – rolled forward (146)</c:v>
                </c:pt>
              </c:strCache>
            </c:strRef>
          </c:cat>
          <c:val>
            <c:numRef>
              <c:f>Football!$K$5:$K$14</c:f>
              <c:numCache>
                <c:formatCode>#,##0.00_);\(#,##0.00\);"–"_)</c:formatCode>
                <c:ptCount val="10"/>
                <c:pt idx="0">
                  <c:v>33.399999999999991</c:v>
                </c:pt>
                <c:pt idx="1">
                  <c:v>24.604270723867529</c:v>
                </c:pt>
                <c:pt idx="2">
                  <c:v>139.34750844043876</c:v>
                </c:pt>
                <c:pt idx="3">
                  <c:v>35.60256953853839</c:v>
                </c:pt>
                <c:pt idx="4">
                  <c:v>31.450276737764199</c:v>
                </c:pt>
                <c:pt idx="5">
                  <c:v>29.395171294346625</c:v>
                </c:pt>
                <c:pt idx="6">
                  <c:v>39.090110938388591</c:v>
                </c:pt>
                <c:pt idx="7">
                  <c:v>1.6832295221748297</c:v>
                </c:pt>
                <c:pt idx="8">
                  <c:v>1.6832295221748297</c:v>
                </c:pt>
                <c:pt idx="9">
                  <c:v>1.6832295221748297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7-38A4-4FB6-BDEB-9530C72E5FE0}"/>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t"/>
        <c:numFmt formatCode="#,##0.00_);\(#,##0.00\);&quot;–&quot;_)"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DCF value per share vs. a uniform shift in the EBIT margin</a:t>
            </a:r>
          </a:p>
        </c:rich>
      </c:tx>
      <c:overlay val="1"/>
    </c:title>
    <c:autoTitleDeleted val="0"/>
    <c:plotArea>
      <c:layout/>
      <c:lineChart>
        <c:grouping val="standard"/>
        <c:varyColors val="1"/>
        <c:ser>
          <c:idx val="0"/>
          <c:order val="0"/>
          <c:tx>
            <c:strRef>
              <c:f>Reverse_DCF!$J$22</c:f>
              <c:strCache>
                <c:ptCount val="1"/>
                <c:pt idx="0">
                  <c:v>DCF value per share</c:v>
                </c:pt>
              </c:strCache>
            </c:strRef>
          </c:tx>
          <c:spPr>
            <a:ln w="28000">
              <a:solidFill>
                <a:srgbClr val="003255"/>
              </a:solidFill>
              <a:prstDash val="solid"/>
            </a:ln>
          </c:spPr>
          <c:marker>
            <c:symbol val="none"/>
          </c:marker>
          <c:cat>
            <c:numRef>
              <c:f>Reverse_DCF!$I$23:$I$39</c:f>
              <c:numCache>
                <c:formatCode>\+0.0%;\-0.0%;0.0%</c:formatCode>
                <c:ptCount val="17"/>
                <c:pt idx="0">
                  <c:v>-0.05</c:v>
                </c:pt>
                <c:pt idx="1">
                  <c:v>-4.4999999999999998E-2</c:v>
                </c:pt>
                <c:pt idx="2">
                  <c:v>-0.04</c:v>
                </c:pt>
                <c:pt idx="3">
                  <c:v>-3.5000000000000003E-2</c:v>
                </c:pt>
                <c:pt idx="4">
                  <c:v>-0.03</c:v>
                </c:pt>
                <c:pt idx="5">
                  <c:v>-2.5000000000000001E-2</c:v>
                </c:pt>
                <c:pt idx="6">
                  <c:v>-0.02</c:v>
                </c:pt>
                <c:pt idx="7">
                  <c:v>-1.4999999999999999E-2</c:v>
                </c:pt>
                <c:pt idx="8">
                  <c:v>-0.01</c:v>
                </c:pt>
                <c:pt idx="9">
                  <c:v>-5.0000000000000001E-3</c:v>
                </c:pt>
                <c:pt idx="10">
                  <c:v>0</c:v>
                </c:pt>
                <c:pt idx="11">
                  <c:v>5.0000000000000001E-3</c:v>
                </c:pt>
                <c:pt idx="12">
                  <c:v>0.01</c:v>
                </c:pt>
                <c:pt idx="13">
                  <c:v>1.4999999999999999E-2</c:v>
                </c:pt>
                <c:pt idx="14">
                  <c:v>0.02</c:v>
                </c:pt>
                <c:pt idx="15">
                  <c:v>2.5000000000000001E-2</c:v>
                </c:pt>
                <c:pt idx="16">
                  <c:v>0.03</c:v>
                </c:pt>
              </c:numCache>
            </c:numRef>
          </c:cat>
          <c:val>
            <c:numRef>
              <c:f>Reverse_DCF!$J$23:$J$39</c:f>
              <c:numCache>
                <c:formatCode>#,##0.0_);\(#,##0.0\);"–"_)</c:formatCode>
                <c:ptCount val="17"/>
                <c:pt idx="0">
                  <c:v>96.334370800945692</c:v>
                </c:pt>
                <c:pt idx="1">
                  <c:v>100.61198425315217</c:v>
                </c:pt>
                <c:pt idx="2">
                  <c:v>104.88959770535865</c:v>
                </c:pt>
                <c:pt idx="3">
                  <c:v>109.16721115756512</c:v>
                </c:pt>
                <c:pt idx="4">
                  <c:v>113.4448246097716</c:v>
                </c:pt>
                <c:pt idx="5">
                  <c:v>117.72243806197808</c:v>
                </c:pt>
                <c:pt idx="6">
                  <c:v>122.00005151418456</c:v>
                </c:pt>
                <c:pt idx="7">
                  <c:v>126.27766496639103</c:v>
                </c:pt>
                <c:pt idx="8">
                  <c:v>130.55527841859751</c:v>
                </c:pt>
                <c:pt idx="9">
                  <c:v>134.83289187080399</c:v>
                </c:pt>
                <c:pt idx="10">
                  <c:v>139.11050532301047</c:v>
                </c:pt>
                <c:pt idx="11">
                  <c:v>143.38811877521695</c:v>
                </c:pt>
                <c:pt idx="12">
                  <c:v>147.66573222742343</c:v>
                </c:pt>
                <c:pt idx="13">
                  <c:v>151.94334567962991</c:v>
                </c:pt>
                <c:pt idx="14">
                  <c:v>156.22095913183639</c:v>
                </c:pt>
                <c:pt idx="15">
                  <c:v>160.49857258404285</c:v>
                </c:pt>
                <c:pt idx="16">
                  <c:v>164.77618603624933</c:v>
                </c:pt>
              </c:numCache>
            </c:numRef>
          </c:val>
          <c:smooth val="0"/>
          <c:extLst>
            <c:ext xmlns:c16="http://schemas.microsoft.com/office/drawing/2014/chart" uri="{C3380CC4-5D6E-409C-BE32-E72D297353CC}">
              <c16:uniqueId val="{00000000-9730-4F6A-8A6A-26D6AF0D1425}"/>
            </c:ext>
          </c:extLst>
        </c:ser>
        <c:ser>
          <c:idx val="1"/>
          <c:order val="1"/>
          <c:tx>
            <c:strRef>
              <c:f>Reverse_DCF!$K$22</c:f>
              <c:strCache>
                <c:ptCount val="1"/>
                <c:pt idx="0">
                  <c:v>Share price</c:v>
                </c:pt>
              </c:strCache>
            </c:strRef>
          </c:tx>
          <c:spPr>
            <a:ln>
              <a:solidFill>
                <a:srgbClr val="C00000"/>
              </a:solidFill>
              <a:prstDash val="dash"/>
            </a:ln>
          </c:spPr>
          <c:marker>
            <c:symbol val="none"/>
          </c:marker>
          <c:cat>
            <c:numRef>
              <c:f>Reverse_DCF!$I$23:$I$39</c:f>
              <c:numCache>
                <c:formatCode>\+0.0%;\-0.0%;0.0%</c:formatCode>
                <c:ptCount val="17"/>
                <c:pt idx="0">
                  <c:v>-0.05</c:v>
                </c:pt>
                <c:pt idx="1">
                  <c:v>-4.4999999999999998E-2</c:v>
                </c:pt>
                <c:pt idx="2">
                  <c:v>-0.04</c:v>
                </c:pt>
                <c:pt idx="3">
                  <c:v>-3.5000000000000003E-2</c:v>
                </c:pt>
                <c:pt idx="4">
                  <c:v>-0.03</c:v>
                </c:pt>
                <c:pt idx="5">
                  <c:v>-2.5000000000000001E-2</c:v>
                </c:pt>
                <c:pt idx="6">
                  <c:v>-0.02</c:v>
                </c:pt>
                <c:pt idx="7">
                  <c:v>-1.4999999999999999E-2</c:v>
                </c:pt>
                <c:pt idx="8">
                  <c:v>-0.01</c:v>
                </c:pt>
                <c:pt idx="9">
                  <c:v>-5.0000000000000001E-3</c:v>
                </c:pt>
                <c:pt idx="10">
                  <c:v>0</c:v>
                </c:pt>
                <c:pt idx="11">
                  <c:v>5.0000000000000001E-3</c:v>
                </c:pt>
                <c:pt idx="12">
                  <c:v>0.01</c:v>
                </c:pt>
                <c:pt idx="13">
                  <c:v>1.4999999999999999E-2</c:v>
                </c:pt>
                <c:pt idx="14">
                  <c:v>0.02</c:v>
                </c:pt>
                <c:pt idx="15">
                  <c:v>2.5000000000000001E-2</c:v>
                </c:pt>
                <c:pt idx="16">
                  <c:v>0.03</c:v>
                </c:pt>
              </c:numCache>
            </c:numRef>
          </c:cat>
          <c:val>
            <c:numRef>
              <c:f>Reverse_DCF!$K$23:$K$39</c:f>
              <c:numCache>
                <c:formatCode>#,##0.0_);\(#,##0.0\);"–"_)</c:formatCode>
                <c:ptCount val="17"/>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122</c:v>
                </c:pt>
                <c:pt idx="14">
                  <c:v>122</c:v>
                </c:pt>
                <c:pt idx="15">
                  <c:v>122</c:v>
                </c:pt>
                <c:pt idx="16">
                  <c:v>122</c:v>
                </c:pt>
              </c:numCache>
            </c:numRef>
          </c:val>
          <c:smooth val="0"/>
          <c:extLst>
            <c:ext xmlns:c16="http://schemas.microsoft.com/office/drawing/2014/chart" uri="{C3380CC4-5D6E-409C-BE32-E72D297353CC}">
              <c16:uniqueId val="{00000001-9730-4F6A-8A6A-26D6AF0D1425}"/>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0%;\-0.0%;0.0%" sourceLinked="0"/>
        <c:majorTickMark val="none"/>
        <c:minorTickMark val="none"/>
        <c:tickLblPos val="nextTo"/>
        <c:crossAx val="100"/>
        <c:crosses val="autoZero"/>
        <c:auto val="1"/>
        <c:lblAlgn val="ctr"/>
        <c:lblOffset val="100"/>
        <c:tickLblSkip val="2"/>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plotArea>
    <c:legend>
      <c:legendPos val="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Revenue</c:v>
          </c:tx>
          <c:spPr>
            <a:solidFill>
              <a:srgbClr val="003255"/>
            </a:solidFill>
            <a:ln>
              <a:prstDash val="solid"/>
            </a:ln>
          </c:spPr>
          <c:invertIfNegative val="1"/>
          <c:cat>
            <c:strRef>
              <c:f>Model!$E$5:$S$5</c:f>
              <c:strCache>
                <c:ptCount val="15"/>
                <c:pt idx="0">
                  <c:v>2019A</c:v>
                </c:pt>
                <c:pt idx="1">
                  <c:v>2020A</c:v>
                </c:pt>
                <c:pt idx="2">
                  <c:v>2021A</c:v>
                </c:pt>
                <c:pt idx="3">
                  <c:v>2022A</c:v>
                </c:pt>
                <c:pt idx="4">
                  <c:v>2023A</c:v>
                </c:pt>
                <c:pt idx="5">
                  <c:v>2024A</c:v>
                </c:pt>
                <c:pt idx="6">
                  <c:v>2025A</c:v>
                </c:pt>
                <c:pt idx="7">
                  <c:v>2026E</c:v>
                </c:pt>
                <c:pt idx="8">
                  <c:v>2027E</c:v>
                </c:pt>
                <c:pt idx="9">
                  <c:v>2028E</c:v>
                </c:pt>
                <c:pt idx="10">
                  <c:v>2029E</c:v>
                </c:pt>
                <c:pt idx="11">
                  <c:v>2030E</c:v>
                </c:pt>
                <c:pt idx="12">
                  <c:v>2031E</c:v>
                </c:pt>
                <c:pt idx="13">
                  <c:v>2032E</c:v>
                </c:pt>
                <c:pt idx="14">
                  <c:v>2033E</c:v>
                </c:pt>
              </c:strCache>
            </c:strRef>
          </c:cat>
          <c:val>
            <c:numRef>
              <c:f>Model!$E$67:$S$67</c:f>
              <c:numCache>
                <c:formatCode>#,##0_);\(#,##0\);"–"_)</c:formatCode>
                <c:ptCount val="15"/>
                <c:pt idx="0">
                  <c:v>3790</c:v>
                </c:pt>
                <c:pt idx="1">
                  <c:v>3468</c:v>
                </c:pt>
                <c:pt idx="2">
                  <c:v>3668</c:v>
                </c:pt>
                <c:pt idx="3">
                  <c:v>4262</c:v>
                </c:pt>
                <c:pt idx="4">
                  <c:v>4687</c:v>
                </c:pt>
                <c:pt idx="5">
                  <c:v>5045</c:v>
                </c:pt>
                <c:pt idx="6">
                  <c:v>5433</c:v>
                </c:pt>
                <c:pt idx="7">
                  <c:v>5726.4479591482213</c:v>
                </c:pt>
                <c:pt idx="8">
                  <c:v>6083.8427205928429</c:v>
                </c:pt>
                <c:pt idx="9">
                  <c:v>6479.0281577074584</c:v>
                </c:pt>
                <c:pt idx="10">
                  <c:v>6875.8850742664126</c:v>
                </c:pt>
                <c:pt idx="11">
                  <c:v>7257.9391223272778</c:v>
                </c:pt>
                <c:pt idx="12">
                  <c:v>7613.3094600678996</c:v>
                </c:pt>
                <c:pt idx="13">
                  <c:v>7938.8226047651588</c:v>
                </c:pt>
                <c:pt idx="14">
                  <c:v>8244.1745141924257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081-47B0-82AD-45E46F3332B9}"/>
            </c:ext>
          </c:extLst>
        </c:ser>
        <c:dLbls>
          <c:showLegendKey val="0"/>
          <c:showVal val="0"/>
          <c:showCatName val="0"/>
          <c:showSerName val="0"/>
          <c:showPercent val="0"/>
          <c:showBubbleSize val="0"/>
        </c:dLbls>
        <c:gapWidth val="60"/>
        <c:axId val="10"/>
        <c:axId val="100"/>
      </c:barChart>
      <c:lineChart>
        <c:grouping val="standard"/>
        <c:varyColors val="1"/>
        <c:ser>
          <c:idx val="1"/>
          <c:order val="1"/>
          <c:tx>
            <c:v>EBIT adj. margin (rhs)</c:v>
          </c:tx>
          <c:spPr>
            <a:ln w="28000">
              <a:solidFill>
                <a:srgbClr val="81B0C0"/>
              </a:solidFill>
              <a:prstDash val="solid"/>
            </a:ln>
          </c:spPr>
          <c:marker>
            <c:symbol val="none"/>
          </c:marker>
          <c:val>
            <c:numRef>
              <c:f>Model!$E$86:$S$86</c:f>
              <c:numCache>
                <c:formatCode>0.0%_);\(0.0%\);"–"_)</c:formatCode>
                <c:ptCount val="15"/>
                <c:pt idx="0">
                  <c:v>0.14701846965699197</c:v>
                </c:pt>
                <c:pt idx="1">
                  <c:v>9.7001153402537482E-2</c:v>
                </c:pt>
                <c:pt idx="2">
                  <c:v>0.12099236641221374</c:v>
                </c:pt>
                <c:pt idx="3">
                  <c:v>0.13599249178789297</c:v>
                </c:pt>
                <c:pt idx="4">
                  <c:v>0.15199487945380835</c:v>
                </c:pt>
                <c:pt idx="5">
                  <c:v>0.16400396432111003</c:v>
                </c:pt>
                <c:pt idx="6">
                  <c:v>0.17498619547211483</c:v>
                </c:pt>
                <c:pt idx="7">
                  <c:v>0.17455779077985198</c:v>
                </c:pt>
                <c:pt idx="8">
                  <c:v>0.1767273103204996</c:v>
                </c:pt>
                <c:pt idx="9">
                  <c:v>0.18022812071720079</c:v>
                </c:pt>
                <c:pt idx="10">
                  <c:v>0.18341238784586805</c:v>
                </c:pt>
                <c:pt idx="11">
                  <c:v>0.1861906882610839</c:v>
                </c:pt>
                <c:pt idx="12">
                  <c:v>0.18828268016400843</c:v>
                </c:pt>
                <c:pt idx="13">
                  <c:v>0.18974222286743828</c:v>
                </c:pt>
                <c:pt idx="14">
                  <c:v>0.19059584681200054</c:v>
                </c:pt>
              </c:numCache>
            </c:numRef>
          </c:val>
          <c:smooth val="0"/>
          <c:extLst>
            <c:ext xmlns:c16="http://schemas.microsoft.com/office/drawing/2014/chart" uri="{C3380CC4-5D6E-409C-BE32-E72D297353CC}">
              <c16:uniqueId val="{00000001-2081-47B0-82AD-45E46F3332B9}"/>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valAx>
        <c:axId val="200"/>
        <c:scaling>
          <c:orientation val="minMax"/>
        </c:scaling>
        <c:delete val="0"/>
        <c:axPos val="r"/>
        <c:numFmt formatCode="0%" sourceLinked="0"/>
        <c:majorTickMark val="none"/>
        <c:minorTickMark val="none"/>
        <c:tickLblPos val="nextTo"/>
        <c:crossAx val="10"/>
        <c:crosses val="max"/>
        <c:crossBetween val="between"/>
      </c:valAx>
    </c:plotArea>
    <c:legend>
      <c:legendPos val="t"/>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FCFF</c:v>
          </c:tx>
          <c:spPr>
            <a:solidFill>
              <a:srgbClr val="81B0C0"/>
            </a:solidFill>
            <a:ln>
              <a:prstDash val="solid"/>
            </a:ln>
          </c:spPr>
          <c:invertIfNegative val="1"/>
          <c:cat>
            <c:strRef>
              <c:f>Model!$F$5:$S$5</c:f>
              <c:strCache>
                <c:ptCount val="14"/>
                <c:pt idx="0">
                  <c:v>2020A</c:v>
                </c:pt>
                <c:pt idx="1">
                  <c:v>2021A</c:v>
                </c:pt>
                <c:pt idx="2">
                  <c:v>2022A</c:v>
                </c:pt>
                <c:pt idx="3">
                  <c:v>2023A</c:v>
                </c:pt>
                <c:pt idx="4">
                  <c:v>2024A</c:v>
                </c:pt>
                <c:pt idx="5">
                  <c:v>2025A</c:v>
                </c:pt>
                <c:pt idx="6">
                  <c:v>2026E</c:v>
                </c:pt>
                <c:pt idx="7">
                  <c:v>2027E</c:v>
                </c:pt>
                <c:pt idx="8">
                  <c:v>2028E</c:v>
                </c:pt>
                <c:pt idx="9">
                  <c:v>2029E</c:v>
                </c:pt>
                <c:pt idx="10">
                  <c:v>2030E</c:v>
                </c:pt>
                <c:pt idx="11">
                  <c:v>2031E</c:v>
                </c:pt>
                <c:pt idx="12">
                  <c:v>2032E</c:v>
                </c:pt>
                <c:pt idx="13">
                  <c:v>2033E</c:v>
                </c:pt>
              </c:strCache>
            </c:strRef>
          </c:cat>
          <c:val>
            <c:numRef>
              <c:f>Model!$F$125:$S$125</c:f>
              <c:numCache>
                <c:formatCode>#,##0_);\(#,##0\);"–"_)</c:formatCode>
                <c:ptCount val="14"/>
                <c:pt idx="0">
                  <c:v>267.392</c:v>
                </c:pt>
                <c:pt idx="1">
                  <c:v>389.56400000000008</c:v>
                </c:pt>
                <c:pt idx="2">
                  <c:v>464.08799999999991</c:v>
                </c:pt>
                <c:pt idx="3">
                  <c:v>548.77199999999971</c:v>
                </c:pt>
                <c:pt idx="4">
                  <c:v>642.67200000000014</c:v>
                </c:pt>
                <c:pt idx="5">
                  <c:v>739.14599999999984</c:v>
                </c:pt>
                <c:pt idx="6">
                  <c:v>610.44539130621536</c:v>
                </c:pt>
                <c:pt idx="7">
                  <c:v>667.16890830053592</c:v>
                </c:pt>
                <c:pt idx="8">
                  <c:v>735.92127823741066</c:v>
                </c:pt>
                <c:pt idx="9">
                  <c:v>826.01593915020749</c:v>
                </c:pt>
                <c:pt idx="10">
                  <c:v>913.84720921365943</c:v>
                </c:pt>
                <c:pt idx="11">
                  <c:v>995.91357703920858</c:v>
                </c:pt>
                <c:pt idx="12">
                  <c:v>1071.9627001998888</c:v>
                </c:pt>
                <c:pt idx="13">
                  <c:v>1117.7010568103844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CB5-4C92-A8A2-A9EACDF0B5D4}"/>
            </c:ext>
          </c:extLst>
        </c:ser>
        <c:dLbls>
          <c:showLegendKey val="0"/>
          <c:showVal val="0"/>
          <c:showCatName val="0"/>
          <c:showSerName val="0"/>
          <c:showPercent val="0"/>
          <c:showBubbleSize val="0"/>
        </c:dLbls>
        <c:gapWidth val="60"/>
        <c:axId val="10"/>
        <c:axId val="100"/>
      </c:barChart>
      <c:lineChart>
        <c:grouping val="standard"/>
        <c:varyColors val="1"/>
        <c:ser>
          <c:idx val="1"/>
          <c:order val="1"/>
          <c:tx>
            <c:v>ROIC (rhs)</c:v>
          </c:tx>
          <c:spPr>
            <a:ln w="28000">
              <a:solidFill>
                <a:srgbClr val="003255"/>
              </a:solidFill>
              <a:prstDash val="solid"/>
            </a:ln>
          </c:spPr>
          <c:marker>
            <c:symbol val="none"/>
          </c:marker>
          <c:val>
            <c:numRef>
              <c:f>Model!$F$122:$S$122</c:f>
              <c:numCache>
                <c:formatCode>0.0%_);\(0.0%\);"–"_)</c:formatCode>
                <c:ptCount val="14"/>
                <c:pt idx="0">
                  <c:v>9.9281849483521895E-2</c:v>
                </c:pt>
                <c:pt idx="1">
                  <c:v>0.13218925421010427</c:v>
                </c:pt>
                <c:pt idx="2">
                  <c:v>0.15114944834503505</c:v>
                </c:pt>
                <c:pt idx="3">
                  <c:v>0.1639900249376558</c:v>
                </c:pt>
                <c:pt idx="4">
                  <c:v>0.17836578456436125</c:v>
                </c:pt>
                <c:pt idx="5">
                  <c:v>0.19281969941234592</c:v>
                </c:pt>
                <c:pt idx="6">
                  <c:v>0.19831138419092867</c:v>
                </c:pt>
                <c:pt idx="7">
                  <c:v>0.20444813728638925</c:v>
                </c:pt>
                <c:pt idx="8">
                  <c:v>0.213046844364745</c:v>
                </c:pt>
                <c:pt idx="9">
                  <c:v>0.22147727111674773</c:v>
                </c:pt>
                <c:pt idx="10">
                  <c:v>0.22962469380621831</c:v>
                </c:pt>
                <c:pt idx="11">
                  <c:v>0.23680597138535464</c:v>
                </c:pt>
                <c:pt idx="12">
                  <c:v>0.24304986304605966</c:v>
                </c:pt>
                <c:pt idx="13">
                  <c:v>0.24812161166593905</c:v>
                </c:pt>
              </c:numCache>
            </c:numRef>
          </c:val>
          <c:smooth val="0"/>
          <c:extLst>
            <c:ext xmlns:c16="http://schemas.microsoft.com/office/drawing/2014/chart" uri="{C3380CC4-5D6E-409C-BE32-E72D297353CC}">
              <c16:uniqueId val="{00000001-3CB5-4C92-A8A2-A9EACDF0B5D4}"/>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valAx>
        <c:axId val="200"/>
        <c:scaling>
          <c:orientation val="minMax"/>
        </c:scaling>
        <c:delete val="0"/>
        <c:axPos val="r"/>
        <c:numFmt formatCode="0%" sourceLinked="0"/>
        <c:majorTickMark val="none"/>
        <c:minorTickMark val="none"/>
        <c:tickLblPos val="nextTo"/>
        <c:crossAx val="10"/>
        <c:crosses val="max"/>
        <c:crossBetween val="between"/>
      </c:valAx>
    </c:plotArea>
    <c:legend>
      <c:legendPos val="t"/>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bar"/>
        <c:grouping val="stacked"/>
        <c:varyColors val="1"/>
        <c:ser>
          <c:idx val="0"/>
          <c:order val="0"/>
          <c:tx>
            <c:v>Offset</c:v>
          </c:tx>
          <c:spPr>
            <a:noFill/>
            <a:ln>
              <a:noFill/>
              <a:prstDash val="solid"/>
            </a:ln>
          </c:spPr>
          <c:invertIfNegative val="1"/>
          <c:cat>
            <c:strRef>
              <c:f>Football!$I$5:$I$14</c:f>
              <c:strCache>
                <c:ptCount val="10"/>
                <c:pt idx="0">
                  <c:v>52-week trading range (101–135)</c:v>
                </c:pt>
                <c:pt idx="1">
                  <c:v>DCF – WACC ±0.5pp / g ±0.25pp (128–153)</c:v>
                </c:pt>
                <c:pt idx="2">
                  <c:v>DCF – Bear to Bull (62–201)</c:v>
                </c:pt>
                <c:pt idx="3">
                  <c:v>EV/EBITDA – peers (25th–75th pct) (108–143)</c:v>
                </c:pt>
                <c:pt idx="4">
                  <c:v>EV/EBIT – peers (25th–75th pct) (124–155)</c:v>
                </c:pt>
                <c:pt idx="5">
                  <c:v>P/E – peers (25th–75th pct) (129–158)</c:v>
                </c:pt>
                <c:pt idx="6">
                  <c:v>EV/Sales – peers (25th–75th pct) (71–110)</c:v>
                </c:pt>
                <c:pt idx="7">
                  <c:v>Current share price (122)</c:v>
                </c:pt>
                <c:pt idx="8">
                  <c:v>Fair value today (138)</c:v>
                </c:pt>
                <c:pt idx="9">
                  <c:v>12m target price – rolled forward (146)</c:v>
                </c:pt>
              </c:strCache>
            </c:strRef>
          </c:cat>
          <c:val>
            <c:numRef>
              <c:f>Football!$J$5:$J$14</c:f>
              <c:numCache>
                <c:formatCode>#,##0.00_);\(#,##0.00\);"–"_)</c:formatCode>
                <c:ptCount val="10"/>
                <c:pt idx="0">
                  <c:v>51.2</c:v>
                </c:pt>
                <c:pt idx="1">
                  <c:v>78.022450635838737</c:v>
                </c:pt>
                <c:pt idx="2">
                  <c:v>12.143148555295909</c:v>
                </c:pt>
                <c:pt idx="3">
                  <c:v>57.702655071262328</c:v>
                </c:pt>
                <c:pt idx="4">
                  <c:v>73.948374709843108</c:v>
                </c:pt>
                <c:pt idx="5">
                  <c:v>78.722403329276119</c:v>
                </c:pt>
                <c:pt idx="6">
                  <c:v>21.187710430776207</c:v>
                </c:pt>
                <c:pt idx="7">
                  <c:v>71.158385238912587</c:v>
                </c:pt>
                <c:pt idx="8">
                  <c:v>87.305296609246284</c:v>
                </c:pt>
                <c:pt idx="9">
                  <c:v>95.158385238912587</c:v>
                </c:pt>
              </c:numCache>
            </c:numRef>
          </c:val>
          <c:extLst>
            <c:ext xmlns:c16="http://schemas.microsoft.com/office/drawing/2014/chart" uri="{C3380CC4-5D6E-409C-BE32-E72D297353CC}">
              <c16:uniqueId val="{00000000-AB23-4A65-B684-E06D56ABE68C}"/>
            </c:ext>
          </c:extLst>
        </c:ser>
        <c:ser>
          <c:idx val="1"/>
          <c:order val="1"/>
          <c:tx>
            <c:v>Range</c:v>
          </c:tx>
          <c:spPr>
            <a:solidFill>
              <a:srgbClr val="003255"/>
            </a:solidFill>
            <a:ln>
              <a:prstDash val="solid"/>
            </a:ln>
          </c:spPr>
          <c:invertIfNegative val="1"/>
          <c:dPt>
            <c:idx val="7"/>
            <c:invertIfNegative val="1"/>
            <c:bubble3D val="0"/>
            <c:spPr>
              <a:solidFill>
                <a:srgbClr val="C00000"/>
              </a:solidFill>
              <a:ln>
                <a:solidFill>
                  <a:srgbClr val="C00000"/>
                </a:solidFill>
                <a:prstDash val="solid"/>
              </a:ln>
            </c:spPr>
            <c:extLst>
              <c:ext xmlns:c16="http://schemas.microsoft.com/office/drawing/2014/chart" uri="{C3380CC4-5D6E-409C-BE32-E72D297353CC}">
                <c16:uniqueId val="{00000002-AB23-4A65-B684-E06D56ABE68C}"/>
              </c:ext>
            </c:extLst>
          </c:dPt>
          <c:dPt>
            <c:idx val="8"/>
            <c:invertIfNegative val="1"/>
            <c:bubble3D val="0"/>
            <c:spPr>
              <a:solidFill>
                <a:srgbClr val="2E7D32"/>
              </a:solidFill>
              <a:ln>
                <a:solidFill>
                  <a:srgbClr val="2E7D32"/>
                </a:solidFill>
                <a:prstDash val="solid"/>
              </a:ln>
            </c:spPr>
            <c:extLst>
              <c:ext xmlns:c16="http://schemas.microsoft.com/office/drawing/2014/chart" uri="{C3380CC4-5D6E-409C-BE32-E72D297353CC}">
                <c16:uniqueId val="{00000004-AB23-4A65-B684-E06D56ABE68C}"/>
              </c:ext>
            </c:extLst>
          </c:dPt>
          <c:dPt>
            <c:idx val="9"/>
            <c:invertIfNegative val="1"/>
            <c:bubble3D val="0"/>
            <c:spPr>
              <a:solidFill>
                <a:srgbClr val="81B0C0"/>
              </a:solidFill>
              <a:ln>
                <a:solidFill>
                  <a:srgbClr val="81B0C0"/>
                </a:solidFill>
                <a:prstDash val="solid"/>
              </a:ln>
            </c:spPr>
            <c:extLst>
              <c:ext xmlns:c16="http://schemas.microsoft.com/office/drawing/2014/chart" uri="{C3380CC4-5D6E-409C-BE32-E72D297353CC}">
                <c16:uniqueId val="{00000006-AB23-4A65-B684-E06D56ABE68C}"/>
              </c:ext>
            </c:extLst>
          </c:dPt>
          <c:cat>
            <c:strRef>
              <c:f>Football!$I$5:$I$14</c:f>
              <c:strCache>
                <c:ptCount val="10"/>
                <c:pt idx="0">
                  <c:v>52-week trading range (101–135)</c:v>
                </c:pt>
                <c:pt idx="1">
                  <c:v>DCF – WACC ±0.5pp / g ±0.25pp (128–153)</c:v>
                </c:pt>
                <c:pt idx="2">
                  <c:v>DCF – Bear to Bull (62–201)</c:v>
                </c:pt>
                <c:pt idx="3">
                  <c:v>EV/EBITDA – peers (25th–75th pct) (108–143)</c:v>
                </c:pt>
                <c:pt idx="4">
                  <c:v>EV/EBIT – peers (25th–75th pct) (124–155)</c:v>
                </c:pt>
                <c:pt idx="5">
                  <c:v>P/E – peers (25th–75th pct) (129–158)</c:v>
                </c:pt>
                <c:pt idx="6">
                  <c:v>EV/Sales – peers (25th–75th pct) (71–110)</c:v>
                </c:pt>
                <c:pt idx="7">
                  <c:v>Current share price (122)</c:v>
                </c:pt>
                <c:pt idx="8">
                  <c:v>Fair value today (138)</c:v>
                </c:pt>
                <c:pt idx="9">
                  <c:v>12m target price – rolled forward (146)</c:v>
                </c:pt>
              </c:strCache>
            </c:strRef>
          </c:cat>
          <c:val>
            <c:numRef>
              <c:f>Football!$K$5:$K$14</c:f>
              <c:numCache>
                <c:formatCode>#,##0.00_);\(#,##0.00\);"–"_)</c:formatCode>
                <c:ptCount val="10"/>
                <c:pt idx="0">
                  <c:v>33.399999999999991</c:v>
                </c:pt>
                <c:pt idx="1">
                  <c:v>24.604270723867529</c:v>
                </c:pt>
                <c:pt idx="2">
                  <c:v>139.34750844043876</c:v>
                </c:pt>
                <c:pt idx="3">
                  <c:v>35.60256953853839</c:v>
                </c:pt>
                <c:pt idx="4">
                  <c:v>31.450276737764199</c:v>
                </c:pt>
                <c:pt idx="5">
                  <c:v>29.395171294346625</c:v>
                </c:pt>
                <c:pt idx="6">
                  <c:v>39.090110938388591</c:v>
                </c:pt>
                <c:pt idx="7">
                  <c:v>1.6832295221748297</c:v>
                </c:pt>
                <c:pt idx="8">
                  <c:v>1.6832295221748297</c:v>
                </c:pt>
                <c:pt idx="9">
                  <c:v>1.6832295221748297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7-AB23-4A65-B684-E06D56ABE68C}"/>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t"/>
        <c:numFmt formatCode="#,##0.00_);\(#,##0.00\);&quot;–&quot;_)"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DCF value per share</c:v>
          </c:tx>
          <c:spPr>
            <a:solidFill>
              <a:srgbClr val="003255"/>
            </a:solidFill>
            <a:ln>
              <a:prstDash val="solid"/>
            </a:ln>
          </c:spPr>
          <c:invertIfNegative val="1"/>
          <c:dLbls>
            <c:numFmt formatCode="0" sourceLinked="0"/>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Sensitivity!$B$42:$B$44</c:f>
              <c:strCache>
                <c:ptCount val="3"/>
                <c:pt idx="0">
                  <c:v>Bear</c:v>
                </c:pt>
                <c:pt idx="1">
                  <c:v>Base</c:v>
                </c:pt>
                <c:pt idx="2">
                  <c:v>Bull</c:v>
                </c:pt>
              </c:strCache>
            </c:strRef>
          </c:cat>
          <c:val>
            <c:numRef>
              <c:f>Sensitivity!$I$42:$I$44</c:f>
              <c:numCache>
                <c:formatCode>#,##0.00_);\(#,##0.00\);"–"_)</c:formatCode>
                <c:ptCount val="3"/>
                <c:pt idx="0">
                  <c:v>62.143148555295909</c:v>
                </c:pt>
                <c:pt idx="1">
                  <c:v>139.11050532301047</c:v>
                </c:pt>
                <c:pt idx="2">
                  <c:v>201.49065699573467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C71-436B-A24E-B988E95BAD38}"/>
            </c:ext>
          </c:extLst>
        </c:ser>
        <c:dLbls>
          <c:showLegendKey val="0"/>
          <c:showVal val="0"/>
          <c:showCatName val="0"/>
          <c:showSerName val="0"/>
          <c:showPercent val="0"/>
          <c:showBubbleSize val="0"/>
        </c:dLbls>
        <c:gapWidth val="8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xdr:col>
      <xdr:colOff>0</xdr:colOff>
      <xdr:row>21</xdr:row>
      <xdr:rowOff>0</xdr:rowOff>
    </xdr:from>
    <xdr:ext cx="5760000" cy="2700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3</xdr:row>
      <xdr:rowOff>0</xdr:rowOff>
    </xdr:from>
    <xdr:ext cx="5580000" cy="2736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26</xdr:row>
      <xdr:rowOff>0</xdr:rowOff>
    </xdr:from>
    <xdr:ext cx="5760000" cy="2700000"/>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760000" cy="2700000"/>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44</xdr:row>
      <xdr:rowOff>0</xdr:rowOff>
    </xdr:from>
    <xdr:ext cx="5760000" cy="2700000"/>
    <xdr:graphicFrame macro="">
      <xdr:nvGraphicFramePr>
        <xdr:cNvPr id="4" name="Chart 3">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44</xdr:row>
      <xdr:rowOff>0</xdr:rowOff>
    </xdr:from>
    <xdr:ext cx="5760000" cy="2700000"/>
    <xdr:graphicFrame macro="">
      <xdr:nvGraphicFramePr>
        <xdr:cNvPr id="5" name="Chart 4">
          <a:extLst>
            <a:ext uri="{FF2B5EF4-FFF2-40B4-BE49-F238E27FC236}">
              <a16:creationId xmlns:a16="http://schemas.microsoft.com/office/drawing/2014/main" id="{00000000-0008-0000-1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255"/>
    <pageSetUpPr fitToPage="1"/>
  </sheetPr>
  <dimension ref="B2:I50"/>
  <sheetViews>
    <sheetView showGridLines="0" tabSelected="1" zoomScale="110" workbookViewId="0"/>
  </sheetViews>
  <sheetFormatPr defaultRowHeight="14.5" x14ac:dyDescent="0.35"/>
  <cols>
    <col min="1" max="1" width="3" customWidth="1"/>
    <col min="2" max="2" width="14" customWidth="1"/>
    <col min="3" max="3" width="4" customWidth="1"/>
    <col min="4" max="4" width="20" customWidth="1"/>
    <col min="5" max="5" width="26" customWidth="1"/>
    <col min="6" max="6" width="78" customWidth="1"/>
    <col min="7" max="7" width="4" customWidth="1"/>
    <col min="8" max="8" width="9" customWidth="1"/>
    <col min="9" max="9" width="46" customWidth="1"/>
  </cols>
  <sheetData>
    <row r="2" spans="2:9" ht="16" customHeight="1" x14ac:dyDescent="0.35">
      <c r="B2" s="1"/>
      <c r="C2" s="1"/>
      <c r="D2" s="1"/>
      <c r="E2" s="1"/>
      <c r="F2" s="1"/>
      <c r="G2" s="1"/>
      <c r="H2" s="1"/>
      <c r="I2" s="1"/>
    </row>
    <row r="3" spans="2:9" ht="16" customHeight="1" x14ac:dyDescent="0.35">
      <c r="B3" s="1"/>
      <c r="C3" s="1"/>
      <c r="D3" s="1"/>
      <c r="E3" s="1"/>
      <c r="F3" s="1"/>
      <c r="G3" s="1"/>
      <c r="H3" s="1"/>
      <c r="I3" s="1"/>
    </row>
    <row r="4" spans="2:9" ht="16" customHeight="1" x14ac:dyDescent="0.35">
      <c r="B4" s="1"/>
      <c r="C4" s="1"/>
      <c r="D4" s="1"/>
      <c r="E4" s="1"/>
      <c r="F4" s="1"/>
      <c r="G4" s="1"/>
      <c r="H4" s="1"/>
      <c r="I4" s="1"/>
    </row>
    <row r="7" spans="2:9" ht="32" customHeight="1" x14ac:dyDescent="0.6">
      <c r="D7" s="2" t="str">
        <f>Inputs!$C$6</f>
        <v>Example Company ASA</v>
      </c>
    </row>
    <row r="8" spans="2:9" ht="30" customHeight="1" x14ac:dyDescent="0.6">
      <c r="D8" s="3" t="s">
        <v>0</v>
      </c>
    </row>
    <row r="10" spans="2:9" x14ac:dyDescent="0.35">
      <c r="D10" s="4" t="str">
        <f>Inputs!$C$7&amp;"  |  "&amp;Inputs!$C$8&amp;"  |  "&amp;Inputs!$C$9&amp;"  |  figures in "&amp;Inputs!$C$11</f>
        <v>EXMPL  |  Oslo Børs  |  Consumer services  |  figures in NOKm</v>
      </c>
    </row>
    <row r="12" spans="2:9" ht="15.5" x14ac:dyDescent="0.35">
      <c r="D12" s="5" t="str">
        <f>DCF!$E$114&amp;"  –  target price NOK "&amp;TEXT(DCF!$E$109,"0")&amp;"  ("&amp;TEXT(DCF!$E$110,"+0%;-0%")&amp;" upside)  |  scenario: "&amp;Inputs!$C$53</f>
        <v>BUY  –  target price NOK 146  (+20% upside)  |  scenario: Base</v>
      </c>
    </row>
    <row r="13" spans="2:9" x14ac:dyDescent="0.35">
      <c r="D13" s="6" t="str">
        <f>"Model status: "&amp;Checks!$D$3</f>
        <v>Model status: ALL CHECKS OK</v>
      </c>
    </row>
    <row r="14" spans="2:9" x14ac:dyDescent="0.35">
      <c r="D14" s="7" t="s">
        <v>1</v>
      </c>
    </row>
    <row r="15" spans="2:9" x14ac:dyDescent="0.35">
      <c r="D15" s="8" t="str">
        <f>Inputs!$C$12</f>
        <v>[Case team name]</v>
      </c>
    </row>
    <row r="17" spans="4:9" x14ac:dyDescent="0.35">
      <c r="D17" s="9" t="s">
        <v>2</v>
      </c>
      <c r="E17" s="9"/>
      <c r="F17" s="9"/>
      <c r="H17" s="9" t="s">
        <v>3</v>
      </c>
      <c r="I17" s="1"/>
    </row>
    <row r="18" spans="4:9" x14ac:dyDescent="0.35">
      <c r="D18" s="10" t="s">
        <v>4</v>
      </c>
      <c r="E18" s="11" t="s">
        <v>5</v>
      </c>
      <c r="F18" s="8" t="s">
        <v>6</v>
      </c>
      <c r="H18" s="12" t="s">
        <v>7</v>
      </c>
      <c r="I18" s="13" t="s">
        <v>8</v>
      </c>
    </row>
    <row r="19" spans="4:9" ht="6" customHeight="1" x14ac:dyDescent="0.35"/>
    <row r="20" spans="4:9" x14ac:dyDescent="0.35">
      <c r="D20" s="14" t="s">
        <v>9</v>
      </c>
      <c r="E20" s="15" t="s">
        <v>10</v>
      </c>
      <c r="H20" s="16" t="s">
        <v>7</v>
      </c>
      <c r="I20" s="13" t="s">
        <v>11</v>
      </c>
    </row>
    <row r="21" spans="4:9" x14ac:dyDescent="0.35">
      <c r="D21" s="17" t="s">
        <v>12</v>
      </c>
      <c r="E21" s="18" t="s">
        <v>13</v>
      </c>
      <c r="F21" s="19" t="s">
        <v>14</v>
      </c>
      <c r="H21" s="20" t="s">
        <v>7</v>
      </c>
      <c r="I21" s="13" t="s">
        <v>15</v>
      </c>
    </row>
    <row r="22" spans="4:9" x14ac:dyDescent="0.35">
      <c r="D22" s="17" t="s">
        <v>16</v>
      </c>
      <c r="E22" s="18" t="s">
        <v>17</v>
      </c>
      <c r="F22" s="19" t="s">
        <v>18</v>
      </c>
      <c r="H22" s="21" t="s">
        <v>7</v>
      </c>
      <c r="I22" s="13" t="s">
        <v>19</v>
      </c>
    </row>
    <row r="23" spans="4:9" x14ac:dyDescent="0.35">
      <c r="D23" s="17" t="s">
        <v>20</v>
      </c>
      <c r="E23" s="18" t="s">
        <v>21</v>
      </c>
      <c r="F23" s="19" t="s">
        <v>22</v>
      </c>
      <c r="H23" s="22" t="s">
        <v>7</v>
      </c>
      <c r="I23" s="13" t="s">
        <v>23</v>
      </c>
    </row>
    <row r="24" spans="4:9" ht="6" customHeight="1" x14ac:dyDescent="0.35"/>
    <row r="25" spans="4:9" x14ac:dyDescent="0.35">
      <c r="D25" s="23" t="s">
        <v>24</v>
      </c>
      <c r="E25" s="15" t="s">
        <v>25</v>
      </c>
      <c r="H25" s="24" t="s">
        <v>26</v>
      </c>
      <c r="I25" s="13" t="s">
        <v>27</v>
      </c>
    </row>
    <row r="26" spans="4:9" x14ac:dyDescent="0.35">
      <c r="D26" s="17" t="s">
        <v>28</v>
      </c>
      <c r="E26" s="18" t="s">
        <v>29</v>
      </c>
      <c r="F26" s="19" t="s">
        <v>30</v>
      </c>
    </row>
    <row r="27" spans="4:9" ht="6" customHeight="1" x14ac:dyDescent="0.35"/>
    <row r="28" spans="4:9" x14ac:dyDescent="0.35">
      <c r="D28" s="25" t="s">
        <v>31</v>
      </c>
      <c r="E28" s="15" t="s">
        <v>32</v>
      </c>
      <c r="H28" s="26" t="s">
        <v>33</v>
      </c>
    </row>
    <row r="29" spans="4:9" x14ac:dyDescent="0.35">
      <c r="D29" s="17" t="s">
        <v>34</v>
      </c>
      <c r="E29" s="18" t="s">
        <v>35</v>
      </c>
      <c r="F29" s="19" t="s">
        <v>36</v>
      </c>
      <c r="H29" s="26" t="s">
        <v>37</v>
      </c>
    </row>
    <row r="30" spans="4:9" x14ac:dyDescent="0.35">
      <c r="D30" s="17" t="s">
        <v>38</v>
      </c>
      <c r="E30" s="18" t="s">
        <v>39</v>
      </c>
      <c r="F30" s="19" t="s">
        <v>40</v>
      </c>
      <c r="H30" s="26" t="s">
        <v>41</v>
      </c>
    </row>
    <row r="31" spans="4:9" ht="6" customHeight="1" x14ac:dyDescent="0.35"/>
    <row r="32" spans="4:9" x14ac:dyDescent="0.35">
      <c r="D32" s="27" t="s">
        <v>42</v>
      </c>
      <c r="E32" s="15" t="s">
        <v>43</v>
      </c>
      <c r="H32" s="26" t="s">
        <v>44</v>
      </c>
    </row>
    <row r="33" spans="4:6" x14ac:dyDescent="0.35">
      <c r="D33" s="17" t="s">
        <v>45</v>
      </c>
      <c r="E33" s="18" t="s">
        <v>46</v>
      </c>
      <c r="F33" s="19" t="s">
        <v>47</v>
      </c>
    </row>
    <row r="34" spans="4:6" x14ac:dyDescent="0.35">
      <c r="D34" s="17" t="s">
        <v>48</v>
      </c>
      <c r="E34" s="18" t="s">
        <v>49</v>
      </c>
      <c r="F34" s="19" t="s">
        <v>50</v>
      </c>
    </row>
    <row r="35" spans="4:6" x14ac:dyDescent="0.35">
      <c r="D35" s="17" t="s">
        <v>51</v>
      </c>
      <c r="E35" s="18" t="s">
        <v>52</v>
      </c>
      <c r="F35" s="19" t="s">
        <v>53</v>
      </c>
    </row>
    <row r="36" spans="4:6" x14ac:dyDescent="0.35">
      <c r="D36" s="17" t="s">
        <v>54</v>
      </c>
      <c r="E36" s="18" t="s">
        <v>55</v>
      </c>
      <c r="F36" s="19" t="s">
        <v>56</v>
      </c>
    </row>
    <row r="37" spans="4:6" x14ac:dyDescent="0.35">
      <c r="D37" s="17" t="s">
        <v>57</v>
      </c>
      <c r="E37" s="18" t="s">
        <v>58</v>
      </c>
      <c r="F37" s="19" t="s">
        <v>59</v>
      </c>
    </row>
    <row r="38" spans="4:6" ht="6" customHeight="1" x14ac:dyDescent="0.35"/>
    <row r="39" spans="4:6" x14ac:dyDescent="0.35">
      <c r="D39" s="28" t="s">
        <v>60</v>
      </c>
      <c r="E39" s="15" t="s">
        <v>61</v>
      </c>
    </row>
    <row r="40" spans="4:6" x14ac:dyDescent="0.35">
      <c r="D40" s="17" t="s">
        <v>62</v>
      </c>
      <c r="E40" s="18" t="s">
        <v>63</v>
      </c>
      <c r="F40" s="19" t="s">
        <v>64</v>
      </c>
    </row>
    <row r="41" spans="4:6" x14ac:dyDescent="0.35">
      <c r="D41" s="17" t="s">
        <v>65</v>
      </c>
      <c r="E41" s="18" t="s">
        <v>66</v>
      </c>
      <c r="F41" s="19" t="s">
        <v>67</v>
      </c>
    </row>
    <row r="42" spans="4:6" x14ac:dyDescent="0.35">
      <c r="D42" s="17" t="s">
        <v>68</v>
      </c>
      <c r="E42" s="18" t="s">
        <v>69</v>
      </c>
      <c r="F42" s="19" t="s">
        <v>70</v>
      </c>
    </row>
    <row r="43" spans="4:6" ht="6" customHeight="1" x14ac:dyDescent="0.35"/>
    <row r="44" spans="4:6" x14ac:dyDescent="0.35">
      <c r="D44" s="29" t="s">
        <v>71</v>
      </c>
      <c r="E44" s="15" t="s">
        <v>72</v>
      </c>
    </row>
    <row r="45" spans="4:6" x14ac:dyDescent="0.35">
      <c r="D45" s="17" t="s">
        <v>73</v>
      </c>
      <c r="E45" s="18" t="s">
        <v>73</v>
      </c>
      <c r="F45" s="19" t="s">
        <v>74</v>
      </c>
    </row>
    <row r="46" spans="4:6" x14ac:dyDescent="0.35">
      <c r="D46" s="17" t="s">
        <v>75</v>
      </c>
      <c r="E46" s="18" t="s">
        <v>76</v>
      </c>
      <c r="F46" s="19" t="s">
        <v>77</v>
      </c>
    </row>
    <row r="47" spans="4:6" x14ac:dyDescent="0.35">
      <c r="D47" s="17" t="s">
        <v>78</v>
      </c>
      <c r="E47" s="18" t="s">
        <v>79</v>
      </c>
      <c r="F47" s="19" t="s">
        <v>80</v>
      </c>
    </row>
    <row r="50" spans="4:4" x14ac:dyDescent="0.35">
      <c r="D50" s="26" t="s">
        <v>81</v>
      </c>
    </row>
  </sheetData>
  <conditionalFormatting sqref="D13">
    <cfRule type="expression" dxfId="36" priority="1">
      <formula>ISNUMBER(SEARCH("ERROR",$D$13))</formula>
    </cfRule>
    <cfRule type="expression" dxfId="35" priority="2">
      <formula>NOT(ISNUMBER(SEARCH("ERROR",$D$13)))</formula>
    </cfRule>
  </conditionalFormatting>
  <hyperlinks>
    <hyperlink ref="D18" location="'Guide'!A1" display="Guide" xr:uid="{00000000-0004-0000-0000-000000000000}"/>
    <hyperlink ref="D20" location="'Inputs &gt;&gt;&gt;'!A1" display="INPUTS" xr:uid="{00000000-0004-0000-0000-000001000000}"/>
    <hyperlink ref="D21" location="'Inputs'!A1" display="Inputs" xr:uid="{00000000-0004-0000-0000-000002000000}"/>
    <hyperlink ref="D22" location="'Hist'!A1" display="Hist" xr:uid="{00000000-0004-0000-0000-000003000000}"/>
    <hyperlink ref="D23" location="'Drivers'!A1" display="Drivers" xr:uid="{00000000-0004-0000-0000-000004000000}"/>
    <hyperlink ref="D25" location="'Calculations &gt;&gt;&gt;'!A1" display="CALCULATIONS" xr:uid="{00000000-0004-0000-0000-000005000000}"/>
    <hyperlink ref="D26" location="'Model'!A1" display="Model" xr:uid="{00000000-0004-0000-0000-000006000000}"/>
    <hyperlink ref="D28" location="'Output &gt;&gt;&gt;'!A1" display="OUTPUT" xr:uid="{00000000-0004-0000-0000-000007000000}"/>
    <hyperlink ref="D29" location="'Output'!A1" display="Output" xr:uid="{00000000-0004-0000-0000-000008000000}"/>
    <hyperlink ref="D30" location="'Analysis'!A1" display="Analysis" xr:uid="{00000000-0004-0000-0000-000009000000}"/>
    <hyperlink ref="D32" location="'Valuation &gt;&gt;&gt;'!A1" display="VALUATION" xr:uid="{00000000-0004-0000-0000-00000A000000}"/>
    <hyperlink ref="D33" location="'WACC'!A1" display="WACC" xr:uid="{00000000-0004-0000-0000-00000B000000}"/>
    <hyperlink ref="D34" location="'DCF'!A1" display="DCF" xr:uid="{00000000-0004-0000-0000-00000C000000}"/>
    <hyperlink ref="D35" location="'Sensitivity'!A1" display="Sensitivity" xr:uid="{00000000-0004-0000-0000-00000D000000}"/>
    <hyperlink ref="D36" location="'Comps'!A1" display="Comps" xr:uid="{00000000-0004-0000-0000-00000E000000}"/>
    <hyperlink ref="D37" location="'Football'!A1" display="Football" xr:uid="{00000000-0004-0000-0000-00000F000000}"/>
    <hyperlink ref="D39" location="'Market view &gt;&gt;&gt;'!A1" display="MARKET VIEW" xr:uid="{00000000-0004-0000-0000-000010000000}"/>
    <hyperlink ref="D40" location="'Reverse_DCF'!A1" display="Reverse_DCF" xr:uid="{00000000-0004-0000-0000-000011000000}"/>
    <hyperlink ref="D41" location="'Consensus'!A1" display="Consensus" xr:uid="{00000000-0004-0000-0000-000012000000}"/>
    <hyperlink ref="D42" location="'Thesis'!A1" display="Thesis" xr:uid="{00000000-0004-0000-0000-000013000000}"/>
    <hyperlink ref="D44" location="'Summary &gt;&gt;&gt;'!A1" display="SUMMARY" xr:uid="{00000000-0004-0000-0000-000014000000}"/>
    <hyperlink ref="D45" location="'Dashboard'!A1" display="Dashboard" xr:uid="{00000000-0004-0000-0000-000015000000}"/>
    <hyperlink ref="D46" location="'Deck_Feed'!A1" display="Deck_Feed" xr:uid="{00000000-0004-0000-0000-000016000000}"/>
    <hyperlink ref="D47" location="'Checks'!A1" display="Checks" xr:uid="{00000000-0004-0000-0000-000017000000}"/>
  </hyperlinks>
  <printOptions horizontalCentered="1"/>
  <pageMargins left="0.4" right="0.4"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255"/>
    <pageSetUpPr fitToPage="1"/>
  </sheetPr>
  <dimension ref="B1:D46"/>
  <sheetViews>
    <sheetView showGridLines="0" workbookViewId="0"/>
  </sheetViews>
  <sheetFormatPr defaultRowHeight="14.5" x14ac:dyDescent="0.35"/>
  <cols>
    <col min="1" max="1" width="3" customWidth="1"/>
    <col min="2" max="2" width="6" customWidth="1"/>
    <col min="3" max="3" width="62" customWidth="1"/>
    <col min="4" max="4" width="80" customWidth="1"/>
  </cols>
  <sheetData>
    <row r="1" spans="2:4" ht="24" customHeight="1" x14ac:dyDescent="0.4">
      <c r="B1" s="30" t="s">
        <v>4</v>
      </c>
    </row>
    <row r="3" spans="2:4" x14ac:dyDescent="0.35">
      <c r="B3" s="31" t="s">
        <v>82</v>
      </c>
      <c r="C3" s="31"/>
      <c r="D3" s="31"/>
    </row>
    <row r="4" spans="2:4" ht="26" customHeight="1" x14ac:dyDescent="0.35">
      <c r="B4" s="32" t="s">
        <v>83</v>
      </c>
      <c r="C4" s="252" t="s">
        <v>84</v>
      </c>
      <c r="D4" s="253"/>
    </row>
    <row r="5" spans="2:4" ht="26" customHeight="1" x14ac:dyDescent="0.35">
      <c r="B5" s="32" t="s">
        <v>85</v>
      </c>
      <c r="C5" s="252" t="s">
        <v>86</v>
      </c>
      <c r="D5" s="253"/>
    </row>
    <row r="6" spans="2:4" ht="15" customHeight="1" x14ac:dyDescent="0.35">
      <c r="B6" s="32" t="s">
        <v>87</v>
      </c>
      <c r="C6" s="252" t="s">
        <v>88</v>
      </c>
      <c r="D6" s="253"/>
    </row>
    <row r="7" spans="2:4" ht="26" customHeight="1" x14ac:dyDescent="0.35">
      <c r="B7" s="32" t="s">
        <v>89</v>
      </c>
      <c r="C7" s="252" t="s">
        <v>90</v>
      </c>
      <c r="D7" s="253"/>
    </row>
    <row r="8" spans="2:4" ht="26" customHeight="1" x14ac:dyDescent="0.35">
      <c r="B8" s="32" t="s">
        <v>91</v>
      </c>
      <c r="C8" s="252" t="s">
        <v>92</v>
      </c>
      <c r="D8" s="253"/>
    </row>
    <row r="9" spans="2:4" ht="15" customHeight="1" x14ac:dyDescent="0.35">
      <c r="B9" s="32" t="s">
        <v>93</v>
      </c>
      <c r="C9" s="252" t="s">
        <v>94</v>
      </c>
      <c r="D9" s="253"/>
    </row>
    <row r="10" spans="2:4" ht="26" customHeight="1" x14ac:dyDescent="0.35">
      <c r="B10" s="32" t="s">
        <v>95</v>
      </c>
      <c r="C10" s="252" t="s">
        <v>96</v>
      </c>
      <c r="D10" s="253"/>
    </row>
    <row r="11" spans="2:4" ht="15" customHeight="1" x14ac:dyDescent="0.35">
      <c r="B11" s="32" t="s">
        <v>97</v>
      </c>
      <c r="C11" s="252" t="s">
        <v>98</v>
      </c>
      <c r="D11" s="253"/>
    </row>
    <row r="13" spans="2:4" x14ac:dyDescent="0.35">
      <c r="B13" s="31" t="s">
        <v>99</v>
      </c>
      <c r="C13" s="31"/>
      <c r="D13" s="31"/>
    </row>
    <row r="14" spans="2:4" ht="26" customHeight="1" x14ac:dyDescent="0.35">
      <c r="B14" s="32" t="s">
        <v>100</v>
      </c>
      <c r="C14" s="252" t="s">
        <v>101</v>
      </c>
      <c r="D14" s="253"/>
    </row>
    <row r="15" spans="2:4" ht="26" customHeight="1" x14ac:dyDescent="0.35">
      <c r="B15" s="32" t="s">
        <v>100</v>
      </c>
      <c r="C15" s="252" t="s">
        <v>102</v>
      </c>
      <c r="D15" s="253"/>
    </row>
    <row r="17" spans="2:4" x14ac:dyDescent="0.35">
      <c r="B17" s="31" t="s">
        <v>103</v>
      </c>
      <c r="C17" s="31"/>
      <c r="D17" s="31"/>
    </row>
    <row r="18" spans="2:4" ht="26" customHeight="1" x14ac:dyDescent="0.35">
      <c r="B18" s="32" t="s">
        <v>100</v>
      </c>
      <c r="C18" s="252" t="s">
        <v>104</v>
      </c>
      <c r="D18" s="253"/>
    </row>
    <row r="19" spans="2:4" ht="26" customHeight="1" x14ac:dyDescent="0.35">
      <c r="B19" s="32" t="s">
        <v>100</v>
      </c>
      <c r="C19" s="252" t="s">
        <v>105</v>
      </c>
      <c r="D19" s="253"/>
    </row>
    <row r="20" spans="2:4" ht="26" customHeight="1" x14ac:dyDescent="0.35">
      <c r="B20" s="32" t="s">
        <v>100</v>
      </c>
      <c r="C20" s="252" t="s">
        <v>106</v>
      </c>
      <c r="D20" s="253"/>
    </row>
    <row r="21" spans="2:4" ht="26" customHeight="1" x14ac:dyDescent="0.35">
      <c r="B21" s="32" t="s">
        <v>100</v>
      </c>
      <c r="C21" s="252" t="s">
        <v>107</v>
      </c>
      <c r="D21" s="253"/>
    </row>
    <row r="22" spans="2:4" ht="26" customHeight="1" x14ac:dyDescent="0.35">
      <c r="B22" s="32" t="s">
        <v>100</v>
      </c>
      <c r="C22" s="252" t="s">
        <v>108</v>
      </c>
      <c r="D22" s="253"/>
    </row>
    <row r="23" spans="2:4" ht="26" customHeight="1" x14ac:dyDescent="0.35">
      <c r="B23" s="32" t="s">
        <v>100</v>
      </c>
      <c r="C23" s="252" t="s">
        <v>109</v>
      </c>
      <c r="D23" s="253"/>
    </row>
    <row r="24" spans="2:4" ht="26" customHeight="1" x14ac:dyDescent="0.35">
      <c r="B24" s="32" t="s">
        <v>100</v>
      </c>
      <c r="C24" s="252" t="s">
        <v>110</v>
      </c>
      <c r="D24" s="253"/>
    </row>
    <row r="25" spans="2:4" ht="26" customHeight="1" x14ac:dyDescent="0.35">
      <c r="B25" s="32" t="s">
        <v>100</v>
      </c>
      <c r="C25" s="252" t="s">
        <v>111</v>
      </c>
      <c r="D25" s="253"/>
    </row>
    <row r="26" spans="2:4" ht="26" customHeight="1" x14ac:dyDescent="0.35">
      <c r="B26" s="32" t="s">
        <v>100</v>
      </c>
      <c r="C26" s="252" t="s">
        <v>112</v>
      </c>
      <c r="D26" s="253"/>
    </row>
    <row r="27" spans="2:4" ht="26" customHeight="1" x14ac:dyDescent="0.35">
      <c r="B27" s="32" t="s">
        <v>100</v>
      </c>
      <c r="C27" s="252" t="s">
        <v>113</v>
      </c>
      <c r="D27" s="253"/>
    </row>
    <row r="28" spans="2:4" ht="26" customHeight="1" x14ac:dyDescent="0.35">
      <c r="B28" s="32" t="s">
        <v>100</v>
      </c>
      <c r="C28" s="252" t="s">
        <v>114</v>
      </c>
      <c r="D28" s="253"/>
    </row>
    <row r="29" spans="2:4" ht="26" customHeight="1" x14ac:dyDescent="0.35">
      <c r="B29" s="32" t="s">
        <v>100</v>
      </c>
      <c r="C29" s="252" t="s">
        <v>115</v>
      </c>
      <c r="D29" s="253"/>
    </row>
    <row r="30" spans="2:4" ht="15" customHeight="1" x14ac:dyDescent="0.35">
      <c r="B30" s="32" t="s">
        <v>100</v>
      </c>
      <c r="C30" s="252" t="s">
        <v>116</v>
      </c>
      <c r="D30" s="253"/>
    </row>
    <row r="32" spans="2:4" x14ac:dyDescent="0.35">
      <c r="B32" s="31" t="s">
        <v>117</v>
      </c>
      <c r="C32" s="31"/>
      <c r="D32" s="31"/>
    </row>
    <row r="33" spans="3:4" x14ac:dyDescent="0.35">
      <c r="C33" s="33" t="s">
        <v>118</v>
      </c>
      <c r="D33" s="19" t="s">
        <v>119</v>
      </c>
    </row>
    <row r="34" spans="3:4" x14ac:dyDescent="0.35">
      <c r="C34" s="33" t="s">
        <v>120</v>
      </c>
      <c r="D34" s="19" t="s">
        <v>121</v>
      </c>
    </row>
    <row r="35" spans="3:4" x14ac:dyDescent="0.35">
      <c r="C35" s="33" t="s">
        <v>122</v>
      </c>
      <c r="D35" s="19" t="s">
        <v>123</v>
      </c>
    </row>
    <row r="36" spans="3:4" x14ac:dyDescent="0.35">
      <c r="C36" s="33" t="s">
        <v>124</v>
      </c>
      <c r="D36" s="19" t="s">
        <v>125</v>
      </c>
    </row>
    <row r="37" spans="3:4" x14ac:dyDescent="0.35">
      <c r="C37" s="33" t="s">
        <v>126</v>
      </c>
      <c r="D37" s="19" t="s">
        <v>127</v>
      </c>
    </row>
    <row r="38" spans="3:4" x14ac:dyDescent="0.35">
      <c r="C38" s="33" t="s">
        <v>128</v>
      </c>
      <c r="D38" s="19" t="s">
        <v>129</v>
      </c>
    </row>
    <row r="39" spans="3:4" x14ac:dyDescent="0.35">
      <c r="C39" s="33" t="s">
        <v>130</v>
      </c>
      <c r="D39" s="19" t="s">
        <v>131</v>
      </c>
    </row>
    <row r="40" spans="3:4" x14ac:dyDescent="0.35">
      <c r="C40" s="33" t="s">
        <v>132</v>
      </c>
      <c r="D40" s="19" t="s">
        <v>133</v>
      </c>
    </row>
    <row r="41" spans="3:4" x14ac:dyDescent="0.35">
      <c r="C41" s="33" t="s">
        <v>134</v>
      </c>
      <c r="D41" s="19" t="s">
        <v>135</v>
      </c>
    </row>
    <row r="42" spans="3:4" x14ac:dyDescent="0.35">
      <c r="C42" s="33" t="s">
        <v>136</v>
      </c>
      <c r="D42" s="19" t="s">
        <v>137</v>
      </c>
    </row>
    <row r="43" spans="3:4" x14ac:dyDescent="0.35">
      <c r="C43" s="33" t="s">
        <v>138</v>
      </c>
      <c r="D43" s="19" t="s">
        <v>139</v>
      </c>
    </row>
    <row r="44" spans="3:4" x14ac:dyDescent="0.35">
      <c r="C44" s="33" t="s">
        <v>140</v>
      </c>
      <c r="D44" s="19" t="s">
        <v>141</v>
      </c>
    </row>
    <row r="45" spans="3:4" x14ac:dyDescent="0.35">
      <c r="C45" s="33" t="s">
        <v>142</v>
      </c>
      <c r="D45" s="19" t="s">
        <v>143</v>
      </c>
    </row>
    <row r="46" spans="3:4" x14ac:dyDescent="0.35">
      <c r="C46" s="33" t="s">
        <v>144</v>
      </c>
      <c r="D46" s="19" t="s">
        <v>145</v>
      </c>
    </row>
  </sheetData>
  <mergeCells count="23">
    <mergeCell ref="C4:D4"/>
    <mergeCell ref="C20:D20"/>
    <mergeCell ref="C29:D29"/>
    <mergeCell ref="C10:D10"/>
    <mergeCell ref="C25:D25"/>
    <mergeCell ref="C22:D22"/>
    <mergeCell ref="C9:D9"/>
    <mergeCell ref="C21:D21"/>
    <mergeCell ref="C11:D11"/>
    <mergeCell ref="C27:D27"/>
    <mergeCell ref="C23:D23"/>
    <mergeCell ref="C8:D8"/>
    <mergeCell ref="C7:D7"/>
    <mergeCell ref="C19:D19"/>
    <mergeCell ref="C28:D28"/>
    <mergeCell ref="C18:D18"/>
    <mergeCell ref="C6:D6"/>
    <mergeCell ref="C24:D24"/>
    <mergeCell ref="C30:D30"/>
    <mergeCell ref="C15:D15"/>
    <mergeCell ref="C5:D5"/>
    <mergeCell ref="C14:D14"/>
    <mergeCell ref="C26:D26"/>
  </mergeCells>
  <printOptions horizontalCentered="1"/>
  <pageMargins left="0.4" right="0.4"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B2:N22"/>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Example Company ASA</v>
      </c>
    </row>
    <row r="9" spans="2:14" ht="22" customHeight="1" x14ac:dyDescent="0.4">
      <c r="D9" s="34" t="s">
        <v>146</v>
      </c>
    </row>
    <row r="12" spans="2:14" ht="30" customHeight="1" x14ac:dyDescent="0.6">
      <c r="D12" s="3" t="s">
        <v>12</v>
      </c>
    </row>
    <row r="14" spans="2:14" x14ac:dyDescent="0.35">
      <c r="D14" s="4" t="s">
        <v>10</v>
      </c>
    </row>
    <row r="17" spans="4:6" ht="16" customHeight="1" x14ac:dyDescent="0.35">
      <c r="D17" s="35" t="s">
        <v>12</v>
      </c>
      <c r="E17" s="36" t="s">
        <v>13</v>
      </c>
      <c r="F17" s="37" t="s">
        <v>14</v>
      </c>
    </row>
    <row r="18" spans="4:6" ht="16" customHeight="1" x14ac:dyDescent="0.35">
      <c r="D18" s="35" t="s">
        <v>16</v>
      </c>
      <c r="E18" s="36" t="s">
        <v>17</v>
      </c>
      <c r="F18" s="37" t="s">
        <v>18</v>
      </c>
    </row>
    <row r="19" spans="4:6" ht="16" customHeight="1" x14ac:dyDescent="0.35">
      <c r="D19" s="35" t="s">
        <v>20</v>
      </c>
      <c r="E19" s="36" t="s">
        <v>21</v>
      </c>
      <c r="F19" s="37" t="s">
        <v>22</v>
      </c>
    </row>
    <row r="22" spans="4:6" x14ac:dyDescent="0.35">
      <c r="D22" s="38" t="s">
        <v>147</v>
      </c>
    </row>
  </sheetData>
  <hyperlinks>
    <hyperlink ref="D17" location="'Inputs'!A1" display="Inputs" xr:uid="{00000000-0004-0000-0200-000000000000}"/>
    <hyperlink ref="D18" location="'Hist'!A1" display="Hist" xr:uid="{00000000-0004-0000-0200-000001000000}"/>
    <hyperlink ref="D19" location="'Drivers'!A1" display="Drivers" xr:uid="{00000000-0004-0000-0200-000002000000}"/>
    <hyperlink ref="D22" location="'Cover'!A1" display="← Back to cover" xr:uid="{00000000-0004-0000-0200-000003000000}"/>
  </hyperlinks>
  <printOptions horizontalCentered="1"/>
  <pageMargins left="0.4" right="0.4"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B1:H77"/>
  <sheetViews>
    <sheetView showGridLines="0" zoomScale="90" workbookViewId="0">
      <pane ySplit="3" topLeftCell="A4" activePane="bottomLeft" state="frozen"/>
      <selection pane="bottomLeft"/>
    </sheetView>
  </sheetViews>
  <sheetFormatPr defaultRowHeight="14.5" x14ac:dyDescent="0.35"/>
  <cols>
    <col min="1" max="1" width="2" customWidth="1"/>
    <col min="2" max="2" width="52" customWidth="1"/>
    <col min="3" max="3" width="16" customWidth="1"/>
    <col min="4" max="4" width="9" customWidth="1"/>
    <col min="5" max="5" width="70" customWidth="1"/>
    <col min="7" max="7" width="2" customWidth="1"/>
    <col min="8" max="8" width="12" customWidth="1"/>
  </cols>
  <sheetData>
    <row r="1" spans="2:8" ht="24" customHeight="1" x14ac:dyDescent="0.4">
      <c r="B1" s="30" t="s">
        <v>148</v>
      </c>
    </row>
    <row r="2" spans="2:8" x14ac:dyDescent="0.35">
      <c r="B2" s="15" t="s">
        <v>149</v>
      </c>
    </row>
    <row r="4" spans="2:8" ht="14.5" customHeight="1" x14ac:dyDescent="0.35">
      <c r="B4" s="9" t="s">
        <v>150</v>
      </c>
      <c r="C4" s="9"/>
      <c r="D4" s="9"/>
      <c r="E4" s="9"/>
      <c r="H4" s="39" t="s">
        <v>151</v>
      </c>
    </row>
    <row r="5" spans="2:8" ht="5" customHeight="1" x14ac:dyDescent="0.35"/>
    <row r="6" spans="2:8" x14ac:dyDescent="0.35">
      <c r="B6" s="40" t="s">
        <v>152</v>
      </c>
      <c r="C6" s="16" t="s">
        <v>153</v>
      </c>
      <c r="D6" s="15"/>
      <c r="E6" s="15" t="s">
        <v>154</v>
      </c>
      <c r="H6" s="8" t="s">
        <v>155</v>
      </c>
    </row>
    <row r="7" spans="2:8" x14ac:dyDescent="0.35">
      <c r="B7" s="40" t="s">
        <v>156</v>
      </c>
      <c r="C7" s="16" t="s">
        <v>157</v>
      </c>
      <c r="D7" s="15"/>
      <c r="E7" s="15"/>
      <c r="H7" s="8" t="s">
        <v>158</v>
      </c>
    </row>
    <row r="8" spans="2:8" x14ac:dyDescent="0.35">
      <c r="B8" s="40" t="s">
        <v>159</v>
      </c>
      <c r="C8" s="16" t="s">
        <v>160</v>
      </c>
      <c r="D8" s="15"/>
      <c r="E8" s="15"/>
      <c r="H8" s="8" t="s">
        <v>161</v>
      </c>
    </row>
    <row r="9" spans="2:8" x14ac:dyDescent="0.35">
      <c r="B9" s="40" t="s">
        <v>162</v>
      </c>
      <c r="C9" s="16" t="s">
        <v>163</v>
      </c>
      <c r="D9" s="15"/>
      <c r="E9" s="15"/>
    </row>
    <row r="10" spans="2:8" x14ac:dyDescent="0.35">
      <c r="B10" s="40" t="s">
        <v>164</v>
      </c>
      <c r="C10" s="16" t="s">
        <v>165</v>
      </c>
      <c r="D10" s="15"/>
      <c r="E10" s="15"/>
    </row>
    <row r="11" spans="2:8" x14ac:dyDescent="0.35">
      <c r="B11" s="40" t="s">
        <v>166</v>
      </c>
      <c r="C11" s="16" t="s">
        <v>167</v>
      </c>
      <c r="D11" s="15"/>
      <c r="E11" s="15" t="s">
        <v>168</v>
      </c>
    </row>
    <row r="12" spans="2:8" x14ac:dyDescent="0.35">
      <c r="B12" s="40" t="s">
        <v>169</v>
      </c>
      <c r="C12" s="16" t="s">
        <v>170</v>
      </c>
      <c r="D12" s="15"/>
      <c r="E12" s="15"/>
    </row>
    <row r="13" spans="2:8" x14ac:dyDescent="0.35">
      <c r="B13" s="40" t="s">
        <v>171</v>
      </c>
      <c r="C13" s="41">
        <v>46281</v>
      </c>
      <c r="D13" s="15"/>
      <c r="E13" s="15"/>
    </row>
    <row r="14" spans="2:8" ht="8" customHeight="1" x14ac:dyDescent="0.35"/>
    <row r="15" spans="2:8" ht="14.5" customHeight="1" x14ac:dyDescent="0.35">
      <c r="B15" s="9" t="s">
        <v>172</v>
      </c>
      <c r="C15" s="9"/>
      <c r="D15" s="9"/>
      <c r="E15" s="9"/>
    </row>
    <row r="16" spans="2:8" ht="5" customHeight="1" x14ac:dyDescent="0.35"/>
    <row r="17" spans="2:5" x14ac:dyDescent="0.35">
      <c r="B17" s="40" t="s">
        <v>173</v>
      </c>
      <c r="C17" s="42">
        <v>2019</v>
      </c>
      <c r="D17" s="15"/>
      <c r="E17" s="15" t="s">
        <v>174</v>
      </c>
    </row>
    <row r="18" spans="2:5" x14ac:dyDescent="0.35">
      <c r="B18" s="40" t="s">
        <v>175</v>
      </c>
      <c r="C18" s="43">
        <f>$C$17+6</f>
        <v>2025</v>
      </c>
      <c r="D18" s="15"/>
      <c r="E18" s="15"/>
    </row>
    <row r="19" spans="2:5" x14ac:dyDescent="0.35">
      <c r="B19" s="40" t="s">
        <v>176</v>
      </c>
      <c r="C19" s="43">
        <f>$C$18+1</f>
        <v>2026</v>
      </c>
      <c r="D19" s="15"/>
      <c r="E19" s="15"/>
    </row>
    <row r="20" spans="2:5" x14ac:dyDescent="0.35">
      <c r="B20" s="40" t="s">
        <v>177</v>
      </c>
      <c r="C20" s="43">
        <f>$C$19+7</f>
        <v>2033</v>
      </c>
      <c r="D20" s="15"/>
      <c r="E20" s="15" t="s">
        <v>178</v>
      </c>
    </row>
    <row r="21" spans="2:5" x14ac:dyDescent="0.35">
      <c r="B21" s="40" t="s">
        <v>179</v>
      </c>
      <c r="C21" s="41">
        <v>46281</v>
      </c>
      <c r="D21" s="15"/>
      <c r="E21" s="15" t="s">
        <v>180</v>
      </c>
    </row>
    <row r="22" spans="2:5" x14ac:dyDescent="0.35">
      <c r="B22" s="40" t="s">
        <v>181</v>
      </c>
      <c r="C22" s="44">
        <f>DATE($C$19,12,31)</f>
        <v>46387</v>
      </c>
      <c r="D22" s="15"/>
      <c r="E22" s="15" t="s">
        <v>182</v>
      </c>
    </row>
    <row r="23" spans="2:5" x14ac:dyDescent="0.35">
      <c r="B23" s="40" t="s">
        <v>183</v>
      </c>
      <c r="C23" s="45">
        <f>MAX(0,MIN(1,($C$22-$C$21)/365))</f>
        <v>0.29041095890410956</v>
      </c>
      <c r="D23" s="15"/>
      <c r="E23" s="15" t="s">
        <v>184</v>
      </c>
    </row>
    <row r="24" spans="2:5" ht="8" customHeight="1" x14ac:dyDescent="0.35"/>
    <row r="25" spans="2:5" ht="14.5" customHeight="1" x14ac:dyDescent="0.35">
      <c r="B25" s="9" t="s">
        <v>185</v>
      </c>
      <c r="C25" s="9"/>
      <c r="D25" s="9"/>
      <c r="E25" s="9"/>
    </row>
    <row r="26" spans="2:5" ht="5" customHeight="1" x14ac:dyDescent="0.35"/>
    <row r="27" spans="2:5" x14ac:dyDescent="0.35">
      <c r="B27" s="40" t="s">
        <v>186</v>
      </c>
      <c r="C27" s="46">
        <v>122</v>
      </c>
      <c r="D27" s="15" t="s">
        <v>165</v>
      </c>
      <c r="E27" s="15" t="s">
        <v>187</v>
      </c>
    </row>
    <row r="28" spans="2:5" x14ac:dyDescent="0.35">
      <c r="B28" s="40" t="s">
        <v>188</v>
      </c>
      <c r="C28" s="41">
        <v>46281</v>
      </c>
      <c r="D28" s="15"/>
      <c r="E28" s="15"/>
    </row>
    <row r="29" spans="2:5" x14ac:dyDescent="0.35">
      <c r="B29" s="40" t="s">
        <v>189</v>
      </c>
      <c r="C29" s="47">
        <v>85</v>
      </c>
      <c r="D29" s="15" t="s">
        <v>190</v>
      </c>
      <c r="E29" s="15" t="s">
        <v>191</v>
      </c>
    </row>
    <row r="30" spans="2:5" x14ac:dyDescent="0.35">
      <c r="B30" s="40" t="s">
        <v>192</v>
      </c>
      <c r="C30" s="47">
        <v>0.6</v>
      </c>
      <c r="D30" s="15" t="s">
        <v>190</v>
      </c>
      <c r="E30" s="15" t="s">
        <v>193</v>
      </c>
    </row>
    <row r="31" spans="2:5" x14ac:dyDescent="0.35">
      <c r="B31" s="40" t="s">
        <v>194</v>
      </c>
      <c r="C31" s="48">
        <f>$C$29+$C$30</f>
        <v>85.6</v>
      </c>
      <c r="D31" s="15" t="s">
        <v>190</v>
      </c>
      <c r="E31" s="15"/>
    </row>
    <row r="32" spans="2:5" x14ac:dyDescent="0.35">
      <c r="B32" s="40" t="s">
        <v>195</v>
      </c>
      <c r="C32" s="49">
        <f>$C$27*$C$29</f>
        <v>10370</v>
      </c>
      <c r="D32" s="15" t="s">
        <v>167</v>
      </c>
      <c r="E32" s="15"/>
    </row>
    <row r="33" spans="2:5" x14ac:dyDescent="0.35">
      <c r="B33" s="40" t="s">
        <v>196</v>
      </c>
      <c r="C33" s="46">
        <v>134.6</v>
      </c>
      <c r="D33" s="15" t="s">
        <v>165</v>
      </c>
      <c r="E33" s="15"/>
    </row>
    <row r="34" spans="2:5" x14ac:dyDescent="0.35">
      <c r="B34" s="40" t="s">
        <v>197</v>
      </c>
      <c r="C34" s="46">
        <v>101.2</v>
      </c>
      <c r="D34" s="15" t="s">
        <v>165</v>
      </c>
      <c r="E34" s="15"/>
    </row>
    <row r="35" spans="2:5" x14ac:dyDescent="0.35">
      <c r="B35" s="40" t="s">
        <v>198</v>
      </c>
      <c r="C35" s="46">
        <v>135</v>
      </c>
      <c r="D35" s="15" t="s">
        <v>165</v>
      </c>
      <c r="E35" s="15" t="s">
        <v>199</v>
      </c>
    </row>
    <row r="36" spans="2:5" ht="8" customHeight="1" x14ac:dyDescent="0.35"/>
    <row r="37" spans="2:5" ht="14.5" customHeight="1" x14ac:dyDescent="0.35">
      <c r="B37" s="9" t="s">
        <v>200</v>
      </c>
      <c r="C37" s="9"/>
      <c r="D37" s="9"/>
      <c r="E37" s="9"/>
    </row>
    <row r="38" spans="2:5" ht="5" customHeight="1" x14ac:dyDescent="0.35"/>
    <row r="39" spans="2:5" x14ac:dyDescent="0.35">
      <c r="B39" s="40" t="s">
        <v>201</v>
      </c>
      <c r="C39" s="41">
        <v>46203</v>
      </c>
      <c r="D39" s="15"/>
      <c r="E39" s="15" t="s">
        <v>202</v>
      </c>
    </row>
    <row r="40" spans="2:5" x14ac:dyDescent="0.35">
      <c r="B40" s="40" t="s">
        <v>203</v>
      </c>
      <c r="C40" s="50">
        <v>1420</v>
      </c>
      <c r="D40" s="15" t="s">
        <v>167</v>
      </c>
      <c r="E40" s="15" t="s">
        <v>204</v>
      </c>
    </row>
    <row r="41" spans="2:5" x14ac:dyDescent="0.35">
      <c r="B41" s="40" t="s">
        <v>205</v>
      </c>
      <c r="C41" s="50">
        <v>395</v>
      </c>
      <c r="D41" s="15" t="s">
        <v>167</v>
      </c>
      <c r="E41" s="15"/>
    </row>
    <row r="42" spans="2:5" x14ac:dyDescent="0.35">
      <c r="B42" s="11" t="s">
        <v>206</v>
      </c>
      <c r="C42" s="51">
        <f>$C$40-$C$41</f>
        <v>1025</v>
      </c>
      <c r="D42" s="15" t="s">
        <v>167</v>
      </c>
      <c r="E42" s="15"/>
    </row>
    <row r="43" spans="2:5" x14ac:dyDescent="0.35">
      <c r="B43" s="40" t="s">
        <v>207</v>
      </c>
      <c r="C43" s="50">
        <v>1805</v>
      </c>
      <c r="D43" s="15" t="s">
        <v>167</v>
      </c>
      <c r="E43" s="15" t="s">
        <v>208</v>
      </c>
    </row>
    <row r="44" spans="2:5" x14ac:dyDescent="0.35">
      <c r="B44" s="40" t="s">
        <v>209</v>
      </c>
      <c r="C44" s="50">
        <v>70</v>
      </c>
      <c r="D44" s="15" t="s">
        <v>167</v>
      </c>
      <c r="E44" s="15" t="s">
        <v>210</v>
      </c>
    </row>
    <row r="45" spans="2:5" x14ac:dyDescent="0.35">
      <c r="B45" s="40" t="s">
        <v>211</v>
      </c>
      <c r="C45" s="50">
        <v>40</v>
      </c>
      <c r="D45" s="15" t="s">
        <v>167</v>
      </c>
      <c r="E45" s="15" t="s">
        <v>212</v>
      </c>
    </row>
    <row r="46" spans="2:5" x14ac:dyDescent="0.35">
      <c r="B46" s="40" t="s">
        <v>213</v>
      </c>
      <c r="C46" s="50">
        <v>20</v>
      </c>
      <c r="D46" s="15" t="s">
        <v>167</v>
      </c>
      <c r="E46" s="15"/>
    </row>
    <row r="47" spans="2:5" x14ac:dyDescent="0.35">
      <c r="B47" s="40" t="s">
        <v>214</v>
      </c>
      <c r="C47" s="50">
        <v>0</v>
      </c>
      <c r="D47" s="15" t="s">
        <v>167</v>
      </c>
      <c r="E47" s="15"/>
    </row>
    <row r="48" spans="2:5" x14ac:dyDescent="0.35">
      <c r="B48" s="11" t="s">
        <v>215</v>
      </c>
      <c r="C48" s="51">
        <f>$C$32+$C$42+$C$44-$C$45+$C$46-$C$47</f>
        <v>11445</v>
      </c>
      <c r="D48" s="15" t="s">
        <v>167</v>
      </c>
      <c r="E48" s="15"/>
    </row>
    <row r="49" spans="2:5" x14ac:dyDescent="0.35">
      <c r="B49" s="11" t="s">
        <v>216</v>
      </c>
      <c r="C49" s="51">
        <f>$C$48+$C$43</f>
        <v>13250</v>
      </c>
      <c r="D49" s="15" t="s">
        <v>167</v>
      </c>
      <c r="E49" s="15"/>
    </row>
    <row r="50" spans="2:5" ht="8" customHeight="1" x14ac:dyDescent="0.35"/>
    <row r="51" spans="2:5" ht="14.5" customHeight="1" x14ac:dyDescent="0.35">
      <c r="B51" s="9" t="s">
        <v>217</v>
      </c>
      <c r="C51" s="9"/>
      <c r="D51" s="9"/>
      <c r="E51" s="9"/>
    </row>
    <row r="52" spans="2:5" ht="5" customHeight="1" x14ac:dyDescent="0.35"/>
    <row r="53" spans="2:5" x14ac:dyDescent="0.35">
      <c r="B53" s="40" t="s">
        <v>218</v>
      </c>
      <c r="C53" s="16" t="s">
        <v>158</v>
      </c>
      <c r="D53" s="15"/>
      <c r="E53" s="15" t="s">
        <v>219</v>
      </c>
    </row>
    <row r="54" spans="2:5" x14ac:dyDescent="0.35">
      <c r="B54" s="40" t="s">
        <v>220</v>
      </c>
      <c r="C54" s="43">
        <f>IF(N(Sensitivity!$D$4)&gt;0,Sensitivity!$D$4,MATCH($C$53,$H$6:$H$8,0))</f>
        <v>2</v>
      </c>
      <c r="D54" s="15"/>
      <c r="E54" s="15" t="s">
        <v>221</v>
      </c>
    </row>
    <row r="55" spans="2:5" x14ac:dyDescent="0.35">
      <c r="B55" s="40" t="s">
        <v>222</v>
      </c>
      <c r="C55" s="42">
        <v>1</v>
      </c>
      <c r="D55" s="15"/>
      <c r="E55" s="15" t="s">
        <v>223</v>
      </c>
    </row>
    <row r="56" spans="2:5" x14ac:dyDescent="0.35">
      <c r="B56" s="40" t="s">
        <v>224</v>
      </c>
      <c r="C56" s="52">
        <v>1</v>
      </c>
      <c r="D56" s="15"/>
      <c r="E56" s="15" t="s">
        <v>225</v>
      </c>
    </row>
    <row r="57" spans="2:5" x14ac:dyDescent="0.35">
      <c r="B57" s="40" t="s">
        <v>226</v>
      </c>
      <c r="C57" s="45">
        <f>1-$C$56</f>
        <v>0</v>
      </c>
      <c r="D57" s="15"/>
      <c r="E57" s="15"/>
    </row>
    <row r="58" spans="2:5" x14ac:dyDescent="0.35">
      <c r="B58" s="40" t="s">
        <v>227</v>
      </c>
      <c r="C58" s="42">
        <v>1</v>
      </c>
      <c r="D58" s="15"/>
      <c r="E58" s="15" t="s">
        <v>228</v>
      </c>
    </row>
    <row r="59" spans="2:5" x14ac:dyDescent="0.35">
      <c r="B59" s="40" t="s">
        <v>229</v>
      </c>
      <c r="C59" s="52">
        <v>0.7</v>
      </c>
      <c r="D59" s="15"/>
      <c r="E59" s="15"/>
    </row>
    <row r="60" spans="2:5" x14ac:dyDescent="0.35">
      <c r="B60" s="40" t="s">
        <v>230</v>
      </c>
      <c r="C60" s="45">
        <f>1-$C$59</f>
        <v>0.30000000000000004</v>
      </c>
      <c r="D60" s="15"/>
      <c r="E60" s="15"/>
    </row>
    <row r="61" spans="2:5" x14ac:dyDescent="0.35">
      <c r="B61" s="40" t="s">
        <v>231</v>
      </c>
      <c r="C61" s="42">
        <v>1</v>
      </c>
      <c r="D61" s="15"/>
      <c r="E61" s="15" t="s">
        <v>232</v>
      </c>
    </row>
    <row r="62" spans="2:5" x14ac:dyDescent="0.35">
      <c r="B62" s="40" t="s">
        <v>233</v>
      </c>
      <c r="C62" s="42">
        <v>1</v>
      </c>
      <c r="D62" s="15" t="s">
        <v>165</v>
      </c>
      <c r="E62" s="15"/>
    </row>
    <row r="63" spans="2:5" x14ac:dyDescent="0.35">
      <c r="B63" s="40" t="s">
        <v>234</v>
      </c>
      <c r="C63" s="52">
        <v>0.05</v>
      </c>
      <c r="D63" s="15"/>
      <c r="E63" s="15" t="s">
        <v>235</v>
      </c>
    </row>
    <row r="64" spans="2:5" x14ac:dyDescent="0.35">
      <c r="B64" s="40" t="s">
        <v>236</v>
      </c>
      <c r="C64" s="52">
        <v>-0.05</v>
      </c>
      <c r="D64" s="15"/>
      <c r="E64" s="15" t="s">
        <v>237</v>
      </c>
    </row>
    <row r="65" spans="2:5" x14ac:dyDescent="0.35">
      <c r="B65" s="40" t="s">
        <v>238</v>
      </c>
      <c r="C65" s="53">
        <v>2.5</v>
      </c>
      <c r="D65" s="15"/>
      <c r="E65" s="15" t="s">
        <v>239</v>
      </c>
    </row>
    <row r="66" spans="2:5" x14ac:dyDescent="0.35">
      <c r="B66" s="40" t="s">
        <v>240</v>
      </c>
      <c r="C66" s="52">
        <v>0.15</v>
      </c>
      <c r="D66" s="15"/>
      <c r="E66" s="15" t="s">
        <v>241</v>
      </c>
    </row>
    <row r="67" spans="2:5" x14ac:dyDescent="0.35">
      <c r="B67" s="40" t="s">
        <v>242</v>
      </c>
      <c r="C67" s="42">
        <v>1</v>
      </c>
      <c r="D67" s="15"/>
      <c r="E67" s="15" t="s">
        <v>243</v>
      </c>
    </row>
    <row r="68" spans="2:5" x14ac:dyDescent="0.35">
      <c r="B68" s="40" t="s">
        <v>244</v>
      </c>
      <c r="C68" s="42">
        <v>2</v>
      </c>
      <c r="D68" s="15"/>
      <c r="E68" s="15" t="s">
        <v>245</v>
      </c>
    </row>
    <row r="69" spans="2:5" ht="8" customHeight="1" x14ac:dyDescent="0.35"/>
    <row r="70" spans="2:5" ht="14.5" customHeight="1" x14ac:dyDescent="0.35">
      <c r="B70" s="9" t="s">
        <v>246</v>
      </c>
      <c r="C70" s="9"/>
      <c r="D70" s="9"/>
      <c r="E70" s="9"/>
    </row>
    <row r="71" spans="2:5" ht="5" customHeight="1" x14ac:dyDescent="0.35"/>
    <row r="72" spans="2:5" x14ac:dyDescent="0.35">
      <c r="B72" s="40" t="s">
        <v>247</v>
      </c>
      <c r="C72" s="42">
        <v>2</v>
      </c>
      <c r="D72" s="15"/>
      <c r="E72" s="15" t="s">
        <v>248</v>
      </c>
    </row>
    <row r="73" spans="2:5" x14ac:dyDescent="0.35">
      <c r="B73" s="40" t="s">
        <v>249</v>
      </c>
      <c r="C73" s="16" t="s">
        <v>250</v>
      </c>
      <c r="D73" s="15"/>
      <c r="E73" s="15"/>
    </row>
    <row r="74" spans="2:5" x14ac:dyDescent="0.35">
      <c r="B74" s="40" t="s">
        <v>251</v>
      </c>
      <c r="C74" s="16" t="s">
        <v>252</v>
      </c>
      <c r="D74" s="15"/>
      <c r="E74" s="15"/>
    </row>
    <row r="75" spans="2:5" x14ac:dyDescent="0.35">
      <c r="B75" s="40" t="s">
        <v>253</v>
      </c>
      <c r="C75" s="16" t="s">
        <v>254</v>
      </c>
      <c r="D75" s="15"/>
      <c r="E75" s="15"/>
    </row>
    <row r="76" spans="2:5" x14ac:dyDescent="0.35">
      <c r="B76" s="40" t="s">
        <v>255</v>
      </c>
      <c r="C76" s="16" t="s">
        <v>256</v>
      </c>
      <c r="D76" s="15"/>
      <c r="E76" s="15" t="s">
        <v>257</v>
      </c>
    </row>
    <row r="77" spans="2:5" x14ac:dyDescent="0.35">
      <c r="B77" s="40" t="s">
        <v>258</v>
      </c>
      <c r="C77" s="52">
        <v>0.22</v>
      </c>
      <c r="D77" s="15"/>
      <c r="E77" s="15" t="s">
        <v>259</v>
      </c>
    </row>
  </sheetData>
  <dataValidations count="4">
    <dataValidation type="list" errorTitle="Scenario" error="Choose Bear, Base or Bull" sqref="C53" xr:uid="{00000000-0002-0000-0300-000000000000}">
      <formula1>$H$6:$H$8</formula1>
    </dataValidation>
    <dataValidation type="list" sqref="C55 C61 C67" xr:uid="{00000000-0002-0000-0300-000001000000}">
      <formula1>"1,0"</formula1>
    </dataValidation>
    <dataValidation type="list" sqref="C58 C68 C72" xr:uid="{00000000-0002-0000-0300-000002000000}">
      <formula1>"1,2"</formula1>
    </dataValidation>
    <dataValidation type="decimal" error="Enter a weight between 0% and 100%" sqref="C56 C59" xr:uid="{00000000-0002-0000-0300-000003000000}">
      <formula1>0</formula1>
      <formula2>1</formula2>
    </dataValidation>
  </dataValidations>
  <printOptions horizontalCentered="1"/>
  <pageMargins left="0.4" right="0.4"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B1:V135"/>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20" width="9.453125" customWidth="1"/>
    <col min="21" max="21" width="1.453125" customWidth="1"/>
    <col min="22" max="22" width="50" customWidth="1"/>
  </cols>
  <sheetData>
    <row r="1" spans="2:11" ht="24" customHeight="1" x14ac:dyDescent="0.4">
      <c r="B1" s="30" t="s">
        <v>260</v>
      </c>
      <c r="K1" s="54" t="str">
        <f>Inputs!$C$6&amp;"  |  Scenario: "&amp;Inputs!$C$53</f>
        <v>Example Company ASA  |  Scenario: Base</v>
      </c>
    </row>
    <row r="2" spans="2:11" x14ac:dyDescent="0.35">
      <c r="B2" s="15" t="s">
        <v>261</v>
      </c>
    </row>
    <row r="3" spans="2:11" hidden="1" x14ac:dyDescent="0.35">
      <c r="E3" s="55">
        <f>Inputs!$C$17+0</f>
        <v>2019</v>
      </c>
      <c r="F3" s="55">
        <f>Inputs!$C$17+1</f>
        <v>2020</v>
      </c>
      <c r="G3" s="55">
        <f>Inputs!$C$17+2</f>
        <v>2021</v>
      </c>
      <c r="H3" s="55">
        <f>Inputs!$C$17+3</f>
        <v>2022</v>
      </c>
      <c r="I3" s="55">
        <f>Inputs!$C$17+4</f>
        <v>2023</v>
      </c>
      <c r="J3" s="55">
        <f>Inputs!$C$17+5</f>
        <v>2024</v>
      </c>
      <c r="K3" s="55">
        <f>Inputs!$C$17+6</f>
        <v>2025</v>
      </c>
    </row>
    <row r="4" spans="2:11" x14ac:dyDescent="0.35">
      <c r="E4" s="254" t="s">
        <v>262</v>
      </c>
      <c r="F4" s="255"/>
      <c r="G4" s="255"/>
      <c r="H4" s="255"/>
      <c r="I4" s="255"/>
      <c r="J4" s="255"/>
      <c r="K4" s="255"/>
    </row>
    <row r="5" spans="2:11"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row>
    <row r="6" spans="2:11" ht="5" customHeight="1" x14ac:dyDescent="0.35"/>
    <row r="7" spans="2:11" ht="14.5" customHeight="1" x14ac:dyDescent="0.35">
      <c r="B7" s="9" t="s">
        <v>263</v>
      </c>
      <c r="C7" s="9"/>
      <c r="D7" s="9"/>
      <c r="E7" s="9"/>
      <c r="F7" s="9"/>
      <c r="G7" s="9"/>
      <c r="H7" s="9"/>
      <c r="I7" s="9"/>
      <c r="J7" s="9"/>
      <c r="K7" s="9"/>
    </row>
    <row r="8" spans="2:11" ht="5" customHeight="1" x14ac:dyDescent="0.35"/>
    <row r="9" spans="2:11" x14ac:dyDescent="0.35">
      <c r="B9" s="58" t="str">
        <f>"Revenue – "&amp;Inputs!$C$73</f>
        <v>Revenue – Norway</v>
      </c>
      <c r="C9" s="59" t="s">
        <v>167</v>
      </c>
      <c r="E9" s="60">
        <v>1950</v>
      </c>
      <c r="F9" s="60">
        <v>1790</v>
      </c>
      <c r="G9" s="60">
        <v>1880</v>
      </c>
      <c r="H9" s="60">
        <v>2150</v>
      </c>
      <c r="I9" s="60">
        <v>2340</v>
      </c>
      <c r="J9" s="60">
        <v>2505</v>
      </c>
      <c r="K9" s="60">
        <v>2690</v>
      </c>
    </row>
    <row r="10" spans="2:11" x14ac:dyDescent="0.35">
      <c r="B10" s="58" t="str">
        <f>"Revenue – "&amp;Inputs!$C$74</f>
        <v>Revenue – Sweden</v>
      </c>
      <c r="C10" s="59" t="s">
        <v>167</v>
      </c>
      <c r="E10" s="60">
        <v>1240</v>
      </c>
      <c r="F10" s="60">
        <v>1130</v>
      </c>
      <c r="G10" s="60">
        <v>1190</v>
      </c>
      <c r="H10" s="60">
        <v>1400</v>
      </c>
      <c r="I10" s="60">
        <v>1545</v>
      </c>
      <c r="J10" s="60">
        <v>1665</v>
      </c>
      <c r="K10" s="60">
        <v>1785</v>
      </c>
    </row>
    <row r="11" spans="2:11" x14ac:dyDescent="0.35">
      <c r="B11" s="58" t="str">
        <f>"Revenue – "&amp;Inputs!$C$75</f>
        <v>Revenue – Denmark &amp; Finland</v>
      </c>
      <c r="C11" s="59" t="s">
        <v>167</v>
      </c>
      <c r="E11" s="60">
        <v>600</v>
      </c>
      <c r="F11" s="60">
        <v>548</v>
      </c>
      <c r="G11" s="60">
        <v>598</v>
      </c>
      <c r="H11" s="60">
        <v>712</v>
      </c>
      <c r="I11" s="60">
        <v>802</v>
      </c>
      <c r="J11" s="60">
        <v>875</v>
      </c>
      <c r="K11" s="60">
        <v>958</v>
      </c>
    </row>
    <row r="12" spans="2:11" x14ac:dyDescent="0.35">
      <c r="B12" s="61" t="s">
        <v>264</v>
      </c>
      <c r="C12" s="62" t="s">
        <v>167</v>
      </c>
      <c r="D12" s="63"/>
      <c r="E12" s="64">
        <f t="shared" ref="E12:K12" si="1">SUM(E9:E11)</f>
        <v>3790</v>
      </c>
      <c r="F12" s="64">
        <f t="shared" si="1"/>
        <v>3468</v>
      </c>
      <c r="G12" s="64">
        <f t="shared" si="1"/>
        <v>3668</v>
      </c>
      <c r="H12" s="64">
        <f t="shared" si="1"/>
        <v>4262</v>
      </c>
      <c r="I12" s="64">
        <f t="shared" si="1"/>
        <v>4687</v>
      </c>
      <c r="J12" s="64">
        <f t="shared" si="1"/>
        <v>5045</v>
      </c>
      <c r="K12" s="64">
        <f t="shared" si="1"/>
        <v>5433</v>
      </c>
    </row>
    <row r="13" spans="2:11" x14ac:dyDescent="0.35">
      <c r="B13" s="40" t="s">
        <v>265</v>
      </c>
      <c r="C13" s="59" t="s">
        <v>167</v>
      </c>
      <c r="E13" s="60">
        <v>-1383.3</v>
      </c>
      <c r="F13" s="60">
        <v>-1310.9</v>
      </c>
      <c r="G13" s="60">
        <v>-1364.5</v>
      </c>
      <c r="H13" s="60">
        <v>-1623.8</v>
      </c>
      <c r="I13" s="60">
        <v>-1762.3</v>
      </c>
      <c r="J13" s="60">
        <v>-1866.7</v>
      </c>
      <c r="K13" s="60">
        <v>-1988.5</v>
      </c>
    </row>
    <row r="14" spans="2:11" x14ac:dyDescent="0.35">
      <c r="B14" s="61" t="s">
        <v>266</v>
      </c>
      <c r="C14" s="62" t="s">
        <v>167</v>
      </c>
      <c r="D14" s="63"/>
      <c r="E14" s="64">
        <f t="shared" ref="E14:K14" si="2">E12+E13</f>
        <v>2406.6999999999998</v>
      </c>
      <c r="F14" s="64">
        <f t="shared" si="2"/>
        <v>2157.1</v>
      </c>
      <c r="G14" s="64">
        <f t="shared" si="2"/>
        <v>2303.5</v>
      </c>
      <c r="H14" s="64">
        <f t="shared" si="2"/>
        <v>2638.2</v>
      </c>
      <c r="I14" s="64">
        <f t="shared" si="2"/>
        <v>2924.7</v>
      </c>
      <c r="J14" s="64">
        <f t="shared" si="2"/>
        <v>3178.3</v>
      </c>
      <c r="K14" s="64">
        <f t="shared" si="2"/>
        <v>3444.5</v>
      </c>
    </row>
    <row r="15" spans="2:11" x14ac:dyDescent="0.35">
      <c r="B15" s="40" t="s">
        <v>267</v>
      </c>
      <c r="C15" s="59" t="s">
        <v>167</v>
      </c>
      <c r="E15" s="60">
        <v>-871.7</v>
      </c>
      <c r="F15" s="60">
        <v>-853.1</v>
      </c>
      <c r="G15" s="60">
        <v>-873</v>
      </c>
      <c r="H15" s="60">
        <v>-976</v>
      </c>
      <c r="I15" s="60">
        <v>-1049.9000000000001</v>
      </c>
      <c r="J15" s="60">
        <v>-1114.9000000000001</v>
      </c>
      <c r="K15" s="60">
        <v>-1184.4000000000001</v>
      </c>
    </row>
    <row r="16" spans="2:11" x14ac:dyDescent="0.35">
      <c r="B16" s="40" t="s">
        <v>268</v>
      </c>
      <c r="C16" s="59" t="s">
        <v>167</v>
      </c>
      <c r="E16" s="60">
        <v>-485.1</v>
      </c>
      <c r="F16" s="60">
        <v>-468.2</v>
      </c>
      <c r="G16" s="60">
        <v>-480.5</v>
      </c>
      <c r="H16" s="60">
        <v>-537</v>
      </c>
      <c r="I16" s="60">
        <v>-576.5</v>
      </c>
      <c r="J16" s="60">
        <v>-610.4</v>
      </c>
      <c r="K16" s="60">
        <v>-646.5</v>
      </c>
    </row>
    <row r="17" spans="2:22" x14ac:dyDescent="0.35">
      <c r="B17" s="61" t="s">
        <v>269</v>
      </c>
      <c r="C17" s="62" t="s">
        <v>167</v>
      </c>
      <c r="D17" s="63"/>
      <c r="E17" s="64">
        <f t="shared" ref="E17:K17" si="3">E14+E15+E16</f>
        <v>1049.8999999999996</v>
      </c>
      <c r="F17" s="64">
        <f t="shared" si="3"/>
        <v>835.8</v>
      </c>
      <c r="G17" s="64">
        <f t="shared" si="3"/>
        <v>950</v>
      </c>
      <c r="H17" s="64">
        <f t="shared" si="3"/>
        <v>1125.1999999999998</v>
      </c>
      <c r="I17" s="64">
        <f t="shared" si="3"/>
        <v>1298.2999999999997</v>
      </c>
      <c r="J17" s="64">
        <f t="shared" si="3"/>
        <v>1453</v>
      </c>
      <c r="K17" s="64">
        <f t="shared" si="3"/>
        <v>1613.6</v>
      </c>
    </row>
    <row r="18" spans="2:22" x14ac:dyDescent="0.35">
      <c r="B18" s="40" t="s">
        <v>270</v>
      </c>
      <c r="C18" s="59" t="s">
        <v>167</v>
      </c>
      <c r="E18" s="60">
        <v>-174.3</v>
      </c>
      <c r="F18" s="60">
        <v>-176.9</v>
      </c>
      <c r="G18" s="60">
        <v>-179.7</v>
      </c>
      <c r="H18" s="60">
        <v>-196.1</v>
      </c>
      <c r="I18" s="60">
        <v>-210.9</v>
      </c>
      <c r="J18" s="60">
        <v>-227</v>
      </c>
      <c r="K18" s="60">
        <v>-239.1</v>
      </c>
    </row>
    <row r="19" spans="2:22" x14ac:dyDescent="0.35">
      <c r="B19" s="40" t="s">
        <v>271</v>
      </c>
      <c r="C19" s="59" t="s">
        <v>167</v>
      </c>
      <c r="E19" s="60">
        <v>-254.7</v>
      </c>
      <c r="F19" s="60">
        <v>-258</v>
      </c>
      <c r="G19" s="60">
        <v>-261.2</v>
      </c>
      <c r="H19" s="60">
        <v>-279.60000000000002</v>
      </c>
      <c r="I19" s="60">
        <v>-300</v>
      </c>
      <c r="J19" s="60">
        <v>-318.89999999999998</v>
      </c>
      <c r="K19" s="60">
        <v>-339</v>
      </c>
    </row>
    <row r="20" spans="2:22" x14ac:dyDescent="0.35">
      <c r="B20" s="40" t="s">
        <v>129</v>
      </c>
      <c r="C20" s="59" t="s">
        <v>167</v>
      </c>
      <c r="E20" s="60">
        <v>0</v>
      </c>
      <c r="F20" s="60">
        <v>-45</v>
      </c>
      <c r="G20" s="60">
        <v>0</v>
      </c>
      <c r="H20" s="60">
        <v>0</v>
      </c>
      <c r="I20" s="60">
        <v>-20</v>
      </c>
      <c r="J20" s="60">
        <v>0</v>
      </c>
      <c r="K20" s="60">
        <v>0</v>
      </c>
    </row>
    <row r="21" spans="2:22" x14ac:dyDescent="0.35">
      <c r="B21" s="61" t="s">
        <v>272</v>
      </c>
      <c r="C21" s="62" t="s">
        <v>167</v>
      </c>
      <c r="D21" s="63"/>
      <c r="E21" s="64">
        <f t="shared" ref="E21:K21" si="4">E17+E18+E19+E20</f>
        <v>620.89999999999964</v>
      </c>
      <c r="F21" s="64">
        <f t="shared" si="4"/>
        <v>355.9</v>
      </c>
      <c r="G21" s="64">
        <f t="shared" si="4"/>
        <v>509.09999999999997</v>
      </c>
      <c r="H21" s="64">
        <f t="shared" si="4"/>
        <v>649.49999999999977</v>
      </c>
      <c r="I21" s="64">
        <f t="shared" si="4"/>
        <v>767.39999999999964</v>
      </c>
      <c r="J21" s="64">
        <f t="shared" si="4"/>
        <v>907.1</v>
      </c>
      <c r="K21" s="64">
        <f t="shared" si="4"/>
        <v>1035.5</v>
      </c>
    </row>
    <row r="22" spans="2:22" x14ac:dyDescent="0.35">
      <c r="B22" s="40" t="s">
        <v>273</v>
      </c>
      <c r="C22" s="59" t="s">
        <v>167</v>
      </c>
      <c r="E22" s="60">
        <v>-60.3</v>
      </c>
      <c r="F22" s="60">
        <v>-49.2</v>
      </c>
      <c r="G22" s="60">
        <v>-44.2</v>
      </c>
      <c r="H22" s="60">
        <v>-55</v>
      </c>
      <c r="I22" s="60">
        <v>-84</v>
      </c>
      <c r="J22" s="60">
        <v>-82.1</v>
      </c>
      <c r="K22" s="60">
        <v>-80.400000000000006</v>
      </c>
    </row>
    <row r="23" spans="2:22" x14ac:dyDescent="0.35">
      <c r="B23" s="40" t="s">
        <v>274</v>
      </c>
      <c r="C23" s="59" t="s">
        <v>167</v>
      </c>
      <c r="E23" s="60">
        <v>-63.7</v>
      </c>
      <c r="F23" s="60">
        <v>-64.5</v>
      </c>
      <c r="G23" s="60">
        <v>-65.3</v>
      </c>
      <c r="H23" s="60">
        <v>-69.900000000000006</v>
      </c>
      <c r="I23" s="60">
        <v>-75</v>
      </c>
      <c r="J23" s="60">
        <v>-79.7</v>
      </c>
      <c r="K23" s="60">
        <v>-84.8</v>
      </c>
    </row>
    <row r="24" spans="2:22" x14ac:dyDescent="0.35">
      <c r="B24" s="61" t="s">
        <v>275</v>
      </c>
      <c r="C24" s="62" t="s">
        <v>167</v>
      </c>
      <c r="D24" s="63"/>
      <c r="E24" s="64">
        <f t="shared" ref="E24:K24" si="5">E21+E22+E23</f>
        <v>496.89999999999969</v>
      </c>
      <c r="F24" s="64">
        <f t="shared" si="5"/>
        <v>242.2</v>
      </c>
      <c r="G24" s="64">
        <f t="shared" si="5"/>
        <v>399.59999999999997</v>
      </c>
      <c r="H24" s="64">
        <f t="shared" si="5"/>
        <v>524.5999999999998</v>
      </c>
      <c r="I24" s="64">
        <f t="shared" si="5"/>
        <v>608.39999999999964</v>
      </c>
      <c r="J24" s="64">
        <f t="shared" si="5"/>
        <v>745.3</v>
      </c>
      <c r="K24" s="64">
        <f t="shared" si="5"/>
        <v>870.30000000000007</v>
      </c>
    </row>
    <row r="25" spans="2:22" x14ac:dyDescent="0.35">
      <c r="B25" s="40" t="s">
        <v>276</v>
      </c>
      <c r="C25" s="59" t="s">
        <v>167</v>
      </c>
      <c r="E25" s="60">
        <v>-114.3</v>
      </c>
      <c r="F25" s="60">
        <v>-61.3</v>
      </c>
      <c r="G25" s="60">
        <v>-87.9</v>
      </c>
      <c r="H25" s="60">
        <v>-115.4</v>
      </c>
      <c r="I25" s="60">
        <v>-133.80000000000001</v>
      </c>
      <c r="J25" s="60">
        <v>-164</v>
      </c>
      <c r="K25" s="60">
        <v>-191.5</v>
      </c>
    </row>
    <row r="26" spans="2:22" x14ac:dyDescent="0.35">
      <c r="B26" s="61" t="s">
        <v>277</v>
      </c>
      <c r="C26" s="62" t="s">
        <v>167</v>
      </c>
      <c r="D26" s="63"/>
      <c r="E26" s="64">
        <f t="shared" ref="E26:K26" si="6">E24+E25</f>
        <v>382.59999999999968</v>
      </c>
      <c r="F26" s="64">
        <f t="shared" si="6"/>
        <v>180.89999999999998</v>
      </c>
      <c r="G26" s="64">
        <f t="shared" si="6"/>
        <v>311.69999999999993</v>
      </c>
      <c r="H26" s="64">
        <f t="shared" si="6"/>
        <v>409.19999999999982</v>
      </c>
      <c r="I26" s="64">
        <f t="shared" si="6"/>
        <v>474.59999999999962</v>
      </c>
      <c r="J26" s="64">
        <f t="shared" si="6"/>
        <v>581.29999999999995</v>
      </c>
      <c r="K26" s="64">
        <f t="shared" si="6"/>
        <v>678.80000000000007</v>
      </c>
    </row>
    <row r="27" spans="2:22" x14ac:dyDescent="0.35">
      <c r="B27" s="40" t="s">
        <v>209</v>
      </c>
      <c r="C27" s="59" t="s">
        <v>167</v>
      </c>
      <c r="E27" s="60">
        <v>-3.8</v>
      </c>
      <c r="F27" s="60">
        <v>-1.8</v>
      </c>
      <c r="G27" s="60">
        <v>-3.1</v>
      </c>
      <c r="H27" s="60">
        <v>-4.0999999999999996</v>
      </c>
      <c r="I27" s="60">
        <v>-4.7</v>
      </c>
      <c r="J27" s="60">
        <v>-5.8</v>
      </c>
      <c r="K27" s="60">
        <v>-6.8</v>
      </c>
    </row>
    <row r="28" spans="2:22" x14ac:dyDescent="0.35">
      <c r="B28" s="61" t="s">
        <v>278</v>
      </c>
      <c r="C28" s="62" t="s">
        <v>167</v>
      </c>
      <c r="D28" s="63"/>
      <c r="E28" s="64">
        <f t="shared" ref="E28:K28" si="7">E26+E27</f>
        <v>378.79999999999967</v>
      </c>
      <c r="F28" s="64">
        <f t="shared" si="7"/>
        <v>179.09999999999997</v>
      </c>
      <c r="G28" s="64">
        <f t="shared" si="7"/>
        <v>308.59999999999991</v>
      </c>
      <c r="H28" s="64">
        <f t="shared" si="7"/>
        <v>405.0999999999998</v>
      </c>
      <c r="I28" s="64">
        <f t="shared" si="7"/>
        <v>469.89999999999964</v>
      </c>
      <c r="J28" s="64">
        <f t="shared" si="7"/>
        <v>575.5</v>
      </c>
      <c r="K28" s="64">
        <f t="shared" si="7"/>
        <v>672.00000000000011</v>
      </c>
    </row>
    <row r="29" spans="2:22" ht="8" customHeight="1" x14ac:dyDescent="0.35"/>
    <row r="30" spans="2:22" ht="14.5" customHeight="1" x14ac:dyDescent="0.35">
      <c r="B30" s="9" t="s">
        <v>279</v>
      </c>
      <c r="C30" s="9"/>
      <c r="D30" s="9"/>
      <c r="E30" s="9"/>
      <c r="F30" s="9"/>
      <c r="G30" s="9"/>
      <c r="H30" s="9"/>
      <c r="I30" s="9"/>
      <c r="J30" s="9"/>
      <c r="K30" s="9"/>
    </row>
    <row r="31" spans="2:22" ht="5" customHeight="1" x14ac:dyDescent="0.35"/>
    <row r="32" spans="2:22" x14ac:dyDescent="0.35">
      <c r="B32" s="40" t="s">
        <v>280</v>
      </c>
      <c r="C32" s="59" t="s">
        <v>167</v>
      </c>
      <c r="E32" s="60">
        <v>-318.39999999999998</v>
      </c>
      <c r="F32" s="60">
        <v>-322.5</v>
      </c>
      <c r="G32" s="60">
        <v>-326.5</v>
      </c>
      <c r="H32" s="60">
        <v>-349.5</v>
      </c>
      <c r="I32" s="60">
        <v>-375</v>
      </c>
      <c r="J32" s="60">
        <v>-398.6</v>
      </c>
      <c r="K32" s="60">
        <v>-423.8</v>
      </c>
      <c r="V32" s="15" t="s">
        <v>281</v>
      </c>
    </row>
    <row r="33" spans="2:11" x14ac:dyDescent="0.35">
      <c r="B33" s="11" t="s">
        <v>282</v>
      </c>
      <c r="C33" s="59" t="s">
        <v>167</v>
      </c>
      <c r="E33" s="51">
        <f t="shared" ref="E33:K33" si="8">E17+E32</f>
        <v>731.49999999999966</v>
      </c>
      <c r="F33" s="51">
        <f t="shared" si="8"/>
        <v>513.29999999999995</v>
      </c>
      <c r="G33" s="51">
        <f t="shared" si="8"/>
        <v>623.5</v>
      </c>
      <c r="H33" s="51">
        <f t="shared" si="8"/>
        <v>775.69999999999982</v>
      </c>
      <c r="I33" s="51">
        <f t="shared" si="8"/>
        <v>923.29999999999973</v>
      </c>
      <c r="J33" s="51">
        <f t="shared" si="8"/>
        <v>1054.4000000000001</v>
      </c>
      <c r="K33" s="51">
        <f t="shared" si="8"/>
        <v>1189.8</v>
      </c>
    </row>
    <row r="34" spans="2:11" x14ac:dyDescent="0.35">
      <c r="B34" s="11" t="s">
        <v>283</v>
      </c>
      <c r="C34" s="59" t="s">
        <v>167</v>
      </c>
      <c r="E34" s="51">
        <f t="shared" ref="E34:K34" si="9">E33+E18</f>
        <v>557.19999999999959</v>
      </c>
      <c r="F34" s="51">
        <f t="shared" si="9"/>
        <v>336.4</v>
      </c>
      <c r="G34" s="51">
        <f t="shared" si="9"/>
        <v>443.8</v>
      </c>
      <c r="H34" s="51">
        <f t="shared" si="9"/>
        <v>579.5999999999998</v>
      </c>
      <c r="I34" s="51">
        <f t="shared" si="9"/>
        <v>712.39999999999975</v>
      </c>
      <c r="J34" s="51">
        <f t="shared" si="9"/>
        <v>827.40000000000009</v>
      </c>
      <c r="K34" s="51">
        <f t="shared" si="9"/>
        <v>950.69999999999993</v>
      </c>
    </row>
    <row r="35" spans="2:11" ht="8" customHeight="1" x14ac:dyDescent="0.35"/>
    <row r="36" spans="2:11" ht="14.5" customHeight="1" x14ac:dyDescent="0.35">
      <c r="B36" s="9" t="s">
        <v>284</v>
      </c>
      <c r="C36" s="9"/>
      <c r="D36" s="9"/>
      <c r="E36" s="9"/>
      <c r="F36" s="9"/>
      <c r="G36" s="9"/>
      <c r="H36" s="9"/>
      <c r="I36" s="9"/>
      <c r="J36" s="9"/>
      <c r="K36" s="9"/>
    </row>
    <row r="37" spans="2:11" ht="5" customHeight="1" x14ac:dyDescent="0.35"/>
    <row r="38" spans="2:11" x14ac:dyDescent="0.35">
      <c r="B38" s="40" t="s">
        <v>285</v>
      </c>
      <c r="C38" s="59" t="s">
        <v>167</v>
      </c>
      <c r="E38" s="60">
        <v>1800</v>
      </c>
      <c r="F38" s="60">
        <v>1800</v>
      </c>
      <c r="G38" s="60">
        <v>1800</v>
      </c>
      <c r="H38" s="60">
        <v>2400</v>
      </c>
      <c r="I38" s="60">
        <v>2400</v>
      </c>
      <c r="J38" s="60">
        <v>2730</v>
      </c>
      <c r="K38" s="60">
        <v>2730</v>
      </c>
    </row>
    <row r="39" spans="2:11" x14ac:dyDescent="0.35">
      <c r="B39" s="40" t="s">
        <v>286</v>
      </c>
      <c r="C39" s="59" t="s">
        <v>167</v>
      </c>
      <c r="E39" s="60">
        <v>230</v>
      </c>
      <c r="F39" s="60">
        <v>230</v>
      </c>
      <c r="G39" s="60">
        <v>230</v>
      </c>
      <c r="H39" s="60">
        <v>370</v>
      </c>
      <c r="I39" s="60">
        <v>370</v>
      </c>
      <c r="J39" s="60">
        <v>460</v>
      </c>
      <c r="K39" s="60">
        <v>460</v>
      </c>
    </row>
    <row r="40" spans="2:11" x14ac:dyDescent="0.35">
      <c r="B40" s="40" t="s">
        <v>287</v>
      </c>
      <c r="C40" s="59" t="s">
        <v>167</v>
      </c>
      <c r="E40" s="60">
        <v>842.8</v>
      </c>
      <c r="F40" s="60">
        <v>790.7</v>
      </c>
      <c r="G40" s="60">
        <v>772.4</v>
      </c>
      <c r="H40" s="60">
        <v>875</v>
      </c>
      <c r="I40" s="60">
        <v>917.2</v>
      </c>
      <c r="J40" s="60">
        <v>977.5</v>
      </c>
      <c r="K40" s="60">
        <v>1010.1</v>
      </c>
    </row>
    <row r="41" spans="2:11" x14ac:dyDescent="0.35">
      <c r="B41" s="40" t="s">
        <v>288</v>
      </c>
      <c r="C41" s="59" t="s">
        <v>167</v>
      </c>
      <c r="E41" s="60">
        <v>1267.3</v>
      </c>
      <c r="F41" s="60">
        <v>1284.5</v>
      </c>
      <c r="G41" s="60">
        <v>1301.3</v>
      </c>
      <c r="H41" s="60">
        <v>1397.9</v>
      </c>
      <c r="I41" s="60">
        <v>1505</v>
      </c>
      <c r="J41" s="60">
        <v>1604.1</v>
      </c>
      <c r="K41" s="60">
        <v>1710</v>
      </c>
    </row>
    <row r="42" spans="2:11" x14ac:dyDescent="0.35">
      <c r="B42" s="40" t="s">
        <v>289</v>
      </c>
      <c r="C42" s="59" t="s">
        <v>167</v>
      </c>
      <c r="E42" s="60">
        <v>55</v>
      </c>
      <c r="F42" s="60">
        <v>55</v>
      </c>
      <c r="G42" s="60">
        <v>55</v>
      </c>
      <c r="H42" s="60">
        <v>55</v>
      </c>
      <c r="I42" s="60">
        <v>55</v>
      </c>
      <c r="J42" s="60">
        <v>55</v>
      </c>
      <c r="K42" s="60">
        <v>55</v>
      </c>
    </row>
    <row r="43" spans="2:11" x14ac:dyDescent="0.35">
      <c r="B43" s="40" t="s">
        <v>290</v>
      </c>
      <c r="C43" s="59" t="s">
        <v>167</v>
      </c>
      <c r="E43" s="60">
        <v>151.6</v>
      </c>
      <c r="F43" s="60">
        <v>138.69999999999999</v>
      </c>
      <c r="G43" s="60">
        <v>146.69999999999999</v>
      </c>
      <c r="H43" s="60">
        <v>170.5</v>
      </c>
      <c r="I43" s="60">
        <v>187.5</v>
      </c>
      <c r="J43" s="60">
        <v>201.8</v>
      </c>
      <c r="K43" s="60">
        <v>217.3</v>
      </c>
    </row>
    <row r="44" spans="2:11" x14ac:dyDescent="0.35">
      <c r="B44" s="40" t="s">
        <v>291</v>
      </c>
      <c r="C44" s="59" t="s">
        <v>167</v>
      </c>
      <c r="E44" s="60">
        <v>132.69999999999999</v>
      </c>
      <c r="F44" s="60">
        <v>121.4</v>
      </c>
      <c r="G44" s="60">
        <v>128.4</v>
      </c>
      <c r="H44" s="60">
        <v>149.19999999999999</v>
      </c>
      <c r="I44" s="60">
        <v>164</v>
      </c>
      <c r="J44" s="60">
        <v>176.6</v>
      </c>
      <c r="K44" s="60">
        <v>190.2</v>
      </c>
    </row>
    <row r="45" spans="2:11" x14ac:dyDescent="0.35">
      <c r="B45" s="40" t="s">
        <v>292</v>
      </c>
      <c r="C45" s="59" t="s">
        <v>167</v>
      </c>
      <c r="E45" s="60">
        <v>75.8</v>
      </c>
      <c r="F45" s="60">
        <v>69.400000000000006</v>
      </c>
      <c r="G45" s="60">
        <v>73.400000000000006</v>
      </c>
      <c r="H45" s="60">
        <v>85.2</v>
      </c>
      <c r="I45" s="60">
        <v>93.7</v>
      </c>
      <c r="J45" s="60">
        <v>100.9</v>
      </c>
      <c r="K45" s="60">
        <v>108.7</v>
      </c>
    </row>
    <row r="46" spans="2:11" x14ac:dyDescent="0.35">
      <c r="B46" s="40" t="s">
        <v>205</v>
      </c>
      <c r="C46" s="59" t="s">
        <v>167</v>
      </c>
      <c r="E46" s="60">
        <v>451.5</v>
      </c>
      <c r="F46" s="60">
        <v>787.4</v>
      </c>
      <c r="G46" s="60">
        <v>1092.5</v>
      </c>
      <c r="H46" s="60">
        <v>451.2</v>
      </c>
      <c r="I46" s="60">
        <v>521.4</v>
      </c>
      <c r="J46" s="60">
        <v>243</v>
      </c>
      <c r="K46" s="60">
        <v>461.4</v>
      </c>
    </row>
    <row r="47" spans="2:11" x14ac:dyDescent="0.35">
      <c r="B47" s="61" t="s">
        <v>293</v>
      </c>
      <c r="C47" s="62" t="s">
        <v>167</v>
      </c>
      <c r="D47" s="63"/>
      <c r="E47" s="64">
        <f t="shared" ref="E47:K47" si="10">SUM(E38:E46)</f>
        <v>5006.7000000000007</v>
      </c>
      <c r="F47" s="64">
        <f t="shared" si="10"/>
        <v>5277.0999999999985</v>
      </c>
      <c r="G47" s="64">
        <f t="shared" si="10"/>
        <v>5599.6999999999989</v>
      </c>
      <c r="H47" s="64">
        <f t="shared" si="10"/>
        <v>5953.9999999999991</v>
      </c>
      <c r="I47" s="64">
        <f t="shared" si="10"/>
        <v>6213.7999999999993</v>
      </c>
      <c r="J47" s="64">
        <f t="shared" si="10"/>
        <v>6548.9000000000005</v>
      </c>
      <c r="K47" s="64">
        <f t="shared" si="10"/>
        <v>6942.7</v>
      </c>
    </row>
    <row r="48" spans="2:11" x14ac:dyDescent="0.35">
      <c r="B48" s="40" t="s">
        <v>294</v>
      </c>
      <c r="C48" s="59" t="s">
        <v>167</v>
      </c>
      <c r="E48" s="60">
        <v>1270.0999999999999</v>
      </c>
      <c r="F48" s="60">
        <v>1449.2</v>
      </c>
      <c r="G48" s="60">
        <v>1757.8</v>
      </c>
      <c r="H48" s="60">
        <v>1950.4</v>
      </c>
      <c r="I48" s="60">
        <v>2122.8000000000002</v>
      </c>
      <c r="J48" s="60">
        <v>2341.3000000000002</v>
      </c>
      <c r="K48" s="60">
        <v>2605.3000000000002</v>
      </c>
    </row>
    <row r="49" spans="2:11" x14ac:dyDescent="0.35">
      <c r="B49" s="40" t="s">
        <v>209</v>
      </c>
      <c r="C49" s="59" t="s">
        <v>167</v>
      </c>
      <c r="E49" s="60">
        <v>31.8</v>
      </c>
      <c r="F49" s="60">
        <v>33.6</v>
      </c>
      <c r="G49" s="60">
        <v>36.700000000000003</v>
      </c>
      <c r="H49" s="60">
        <v>40.799999999999997</v>
      </c>
      <c r="I49" s="60">
        <v>45.5</v>
      </c>
      <c r="J49" s="60">
        <v>51.3</v>
      </c>
      <c r="K49" s="60">
        <v>58.1</v>
      </c>
    </row>
    <row r="50" spans="2:11" x14ac:dyDescent="0.35">
      <c r="B50" s="61" t="s">
        <v>295</v>
      </c>
      <c r="C50" s="62" t="s">
        <v>167</v>
      </c>
      <c r="D50" s="63"/>
      <c r="E50" s="64">
        <f t="shared" ref="E50:K50" si="11">E48+E49</f>
        <v>1301.8999999999999</v>
      </c>
      <c r="F50" s="64">
        <f t="shared" si="11"/>
        <v>1482.8</v>
      </c>
      <c r="G50" s="64">
        <f t="shared" si="11"/>
        <v>1794.5</v>
      </c>
      <c r="H50" s="64">
        <f t="shared" si="11"/>
        <v>1991.2</v>
      </c>
      <c r="I50" s="64">
        <f t="shared" si="11"/>
        <v>2168.3000000000002</v>
      </c>
      <c r="J50" s="64">
        <f t="shared" si="11"/>
        <v>2392.6000000000004</v>
      </c>
      <c r="K50" s="64">
        <f t="shared" si="11"/>
        <v>2663.4</v>
      </c>
    </row>
    <row r="51" spans="2:11" x14ac:dyDescent="0.35">
      <c r="B51" s="40" t="s">
        <v>296</v>
      </c>
      <c r="C51" s="59" t="s">
        <v>167</v>
      </c>
      <c r="E51" s="60">
        <v>1480</v>
      </c>
      <c r="F51" s="60">
        <v>1600</v>
      </c>
      <c r="G51" s="60">
        <v>1600</v>
      </c>
      <c r="H51" s="60">
        <v>1550</v>
      </c>
      <c r="I51" s="60">
        <v>1450</v>
      </c>
      <c r="J51" s="60">
        <v>1400</v>
      </c>
      <c r="K51" s="60">
        <v>1350</v>
      </c>
    </row>
    <row r="52" spans="2:11" x14ac:dyDescent="0.35">
      <c r="B52" s="40" t="s">
        <v>297</v>
      </c>
      <c r="C52" s="59" t="s">
        <v>167</v>
      </c>
      <c r="E52" s="60">
        <v>120</v>
      </c>
      <c r="F52" s="60">
        <v>150</v>
      </c>
      <c r="G52" s="60">
        <v>100</v>
      </c>
      <c r="H52" s="60">
        <v>100</v>
      </c>
      <c r="I52" s="60">
        <v>100</v>
      </c>
      <c r="J52" s="60">
        <v>100</v>
      </c>
      <c r="K52" s="60">
        <v>100</v>
      </c>
    </row>
    <row r="53" spans="2:11" x14ac:dyDescent="0.35">
      <c r="B53" s="40" t="s">
        <v>298</v>
      </c>
      <c r="C53" s="59" t="s">
        <v>167</v>
      </c>
      <c r="E53" s="60">
        <v>1069.8</v>
      </c>
      <c r="F53" s="60">
        <v>1083.5999999999999</v>
      </c>
      <c r="G53" s="60">
        <v>1097</v>
      </c>
      <c r="H53" s="60">
        <v>1174.3</v>
      </c>
      <c r="I53" s="60">
        <v>1260</v>
      </c>
      <c r="J53" s="60">
        <v>1339.3</v>
      </c>
      <c r="K53" s="60">
        <v>1424</v>
      </c>
    </row>
    <row r="54" spans="2:11" x14ac:dyDescent="0.35">
      <c r="B54" s="40" t="s">
        <v>299</v>
      </c>
      <c r="C54" s="59" t="s">
        <v>167</v>
      </c>
      <c r="E54" s="60">
        <v>267.5</v>
      </c>
      <c r="F54" s="60">
        <v>270.89999999999998</v>
      </c>
      <c r="G54" s="60">
        <v>274.3</v>
      </c>
      <c r="H54" s="60">
        <v>293.60000000000002</v>
      </c>
      <c r="I54" s="60">
        <v>315</v>
      </c>
      <c r="J54" s="60">
        <v>334.8</v>
      </c>
      <c r="K54" s="60">
        <v>356</v>
      </c>
    </row>
    <row r="55" spans="2:11" x14ac:dyDescent="0.35">
      <c r="B55" s="40" t="s">
        <v>300</v>
      </c>
      <c r="C55" s="59" t="s">
        <v>167</v>
      </c>
      <c r="E55" s="60">
        <v>180</v>
      </c>
      <c r="F55" s="60">
        <v>180</v>
      </c>
      <c r="G55" s="60">
        <v>180</v>
      </c>
      <c r="H55" s="60">
        <v>180</v>
      </c>
      <c r="I55" s="60">
        <v>180</v>
      </c>
      <c r="J55" s="60">
        <v>180</v>
      </c>
      <c r="K55" s="60">
        <v>180</v>
      </c>
    </row>
    <row r="56" spans="2:11" x14ac:dyDescent="0.35">
      <c r="B56" s="40" t="s">
        <v>301</v>
      </c>
      <c r="C56" s="59" t="s">
        <v>167</v>
      </c>
      <c r="E56" s="60">
        <v>265.3</v>
      </c>
      <c r="F56" s="60">
        <v>242.8</v>
      </c>
      <c r="G56" s="60">
        <v>256.8</v>
      </c>
      <c r="H56" s="60">
        <v>298.3</v>
      </c>
      <c r="I56" s="60">
        <v>328.1</v>
      </c>
      <c r="J56" s="60">
        <v>353.2</v>
      </c>
      <c r="K56" s="60">
        <v>380.3</v>
      </c>
    </row>
    <row r="57" spans="2:11" x14ac:dyDescent="0.35">
      <c r="B57" s="40" t="s">
        <v>302</v>
      </c>
      <c r="C57" s="59" t="s">
        <v>167</v>
      </c>
      <c r="E57" s="60">
        <v>322.2</v>
      </c>
      <c r="F57" s="60">
        <v>267</v>
      </c>
      <c r="G57" s="60">
        <v>297.10000000000002</v>
      </c>
      <c r="H57" s="60">
        <v>366.6</v>
      </c>
      <c r="I57" s="60">
        <v>412.4</v>
      </c>
      <c r="J57" s="60">
        <v>449</v>
      </c>
      <c r="K57" s="60">
        <v>489</v>
      </c>
    </row>
    <row r="58" spans="2:11" x14ac:dyDescent="0.35">
      <c r="B58" s="61" t="s">
        <v>303</v>
      </c>
      <c r="C58" s="62" t="s">
        <v>167</v>
      </c>
      <c r="D58" s="63"/>
      <c r="E58" s="64">
        <f t="shared" ref="E58:K58" si="12">E50+SUM(E51:E57)</f>
        <v>5006.7</v>
      </c>
      <c r="F58" s="64">
        <f t="shared" si="12"/>
        <v>5277.1</v>
      </c>
      <c r="G58" s="64">
        <f t="shared" si="12"/>
        <v>5599.7000000000007</v>
      </c>
      <c r="H58" s="64">
        <f t="shared" si="12"/>
        <v>5954</v>
      </c>
      <c r="I58" s="64">
        <f t="shared" si="12"/>
        <v>6213.8</v>
      </c>
      <c r="J58" s="64">
        <f t="shared" si="12"/>
        <v>6548.9000000000005</v>
      </c>
      <c r="K58" s="64">
        <f t="shared" si="12"/>
        <v>6942.7000000000007</v>
      </c>
    </row>
    <row r="59" spans="2:11" x14ac:dyDescent="0.35">
      <c r="B59" s="65" t="s">
        <v>304</v>
      </c>
      <c r="C59" s="59" t="s">
        <v>167</v>
      </c>
      <c r="E59" s="66">
        <f t="shared" ref="E59:K59" si="13">ROUND(E47-E58,1)</f>
        <v>0</v>
      </c>
      <c r="F59" s="66">
        <f t="shared" si="13"/>
        <v>0</v>
      </c>
      <c r="G59" s="66">
        <f t="shared" si="13"/>
        <v>0</v>
      </c>
      <c r="H59" s="66">
        <f t="shared" si="13"/>
        <v>0</v>
      </c>
      <c r="I59" s="66">
        <f t="shared" si="13"/>
        <v>0</v>
      </c>
      <c r="J59" s="66">
        <f t="shared" si="13"/>
        <v>0</v>
      </c>
      <c r="K59" s="66">
        <f t="shared" si="13"/>
        <v>0</v>
      </c>
    </row>
    <row r="60" spans="2:11" ht="8" customHeight="1" x14ac:dyDescent="0.35"/>
    <row r="61" spans="2:11" ht="14.5" customHeight="1" x14ac:dyDescent="0.35">
      <c r="B61" s="9" t="s">
        <v>305</v>
      </c>
      <c r="C61" s="9"/>
      <c r="D61" s="9"/>
      <c r="E61" s="9"/>
      <c r="F61" s="9"/>
      <c r="G61" s="9"/>
      <c r="H61" s="9"/>
      <c r="I61" s="9"/>
      <c r="J61" s="9"/>
      <c r="K61" s="9"/>
    </row>
    <row r="62" spans="2:11" ht="5" customHeight="1" x14ac:dyDescent="0.35"/>
    <row r="63" spans="2:11" x14ac:dyDescent="0.35">
      <c r="B63" s="40" t="s">
        <v>306</v>
      </c>
      <c r="C63" s="59" t="s">
        <v>167</v>
      </c>
      <c r="E63" s="60">
        <v>891</v>
      </c>
      <c r="F63" s="60">
        <v>633.20000000000005</v>
      </c>
      <c r="G63" s="60">
        <v>843</v>
      </c>
      <c r="H63" s="60">
        <v>1009.4</v>
      </c>
      <c r="I63" s="60">
        <v>1095.8</v>
      </c>
      <c r="J63" s="60">
        <v>1234.5</v>
      </c>
      <c r="K63" s="60">
        <v>1371.9</v>
      </c>
    </row>
    <row r="64" spans="2:11" x14ac:dyDescent="0.35">
      <c r="B64" s="40" t="s">
        <v>307</v>
      </c>
      <c r="C64" s="59" t="s">
        <v>167</v>
      </c>
      <c r="E64" s="60">
        <v>-197.1</v>
      </c>
      <c r="F64" s="60">
        <v>-124.8</v>
      </c>
      <c r="G64" s="60">
        <v>-161.4</v>
      </c>
      <c r="H64" s="60">
        <v>-238.7</v>
      </c>
      <c r="I64" s="60">
        <v>-253.1</v>
      </c>
      <c r="J64" s="60">
        <v>-257.3</v>
      </c>
      <c r="K64" s="60">
        <v>-271.7</v>
      </c>
    </row>
    <row r="65" spans="2:11" x14ac:dyDescent="0.35">
      <c r="B65" s="40" t="s">
        <v>308</v>
      </c>
      <c r="C65" s="59" t="s">
        <v>167</v>
      </c>
      <c r="E65" s="60">
        <v>0</v>
      </c>
      <c r="F65" s="60">
        <v>0</v>
      </c>
      <c r="G65" s="60">
        <v>0</v>
      </c>
      <c r="H65" s="60">
        <v>-800</v>
      </c>
      <c r="I65" s="60">
        <v>0</v>
      </c>
      <c r="J65" s="60">
        <v>-450</v>
      </c>
      <c r="K65" s="60">
        <v>0</v>
      </c>
    </row>
    <row r="66" spans="2:11" x14ac:dyDescent="0.35">
      <c r="B66" s="40" t="s">
        <v>309</v>
      </c>
      <c r="C66" s="59" t="s">
        <v>167</v>
      </c>
      <c r="E66" s="49">
        <f t="shared" ref="E66:K66" si="14">E32</f>
        <v>-318.39999999999998</v>
      </c>
      <c r="F66" s="49">
        <f t="shared" si="14"/>
        <v>-322.5</v>
      </c>
      <c r="G66" s="49">
        <f t="shared" si="14"/>
        <v>-326.5</v>
      </c>
      <c r="H66" s="49">
        <f t="shared" si="14"/>
        <v>-349.5</v>
      </c>
      <c r="I66" s="49">
        <f t="shared" si="14"/>
        <v>-375</v>
      </c>
      <c r="J66" s="49">
        <f t="shared" si="14"/>
        <v>-398.6</v>
      </c>
      <c r="K66" s="49">
        <f t="shared" si="14"/>
        <v>-423.8</v>
      </c>
    </row>
    <row r="67" spans="2:11" x14ac:dyDescent="0.35">
      <c r="B67" s="40" t="s">
        <v>310</v>
      </c>
      <c r="C67" s="59" t="s">
        <v>167</v>
      </c>
      <c r="E67" s="60">
        <v>-204</v>
      </c>
      <c r="F67" s="60">
        <v>0</v>
      </c>
      <c r="G67" s="60">
        <v>0</v>
      </c>
      <c r="H67" s="60">
        <v>-212.5</v>
      </c>
      <c r="I67" s="60">
        <v>-297.5</v>
      </c>
      <c r="J67" s="60">
        <v>-357</v>
      </c>
      <c r="K67" s="60">
        <v>-408</v>
      </c>
    </row>
    <row r="68" spans="2:11" x14ac:dyDescent="0.35">
      <c r="B68" s="40" t="s">
        <v>311</v>
      </c>
      <c r="C68" s="59" t="s">
        <v>167</v>
      </c>
      <c r="E68" s="60">
        <v>-20</v>
      </c>
      <c r="F68" s="60">
        <v>150</v>
      </c>
      <c r="G68" s="60">
        <v>-50</v>
      </c>
      <c r="H68" s="60">
        <v>-50</v>
      </c>
      <c r="I68" s="60">
        <v>-100</v>
      </c>
      <c r="J68" s="60">
        <v>-50</v>
      </c>
      <c r="K68" s="60">
        <v>-50</v>
      </c>
    </row>
    <row r="69" spans="2:11" x14ac:dyDescent="0.35">
      <c r="B69" s="61" t="s">
        <v>312</v>
      </c>
      <c r="C69" s="62" t="s">
        <v>167</v>
      </c>
      <c r="D69" s="63"/>
      <c r="E69" s="64">
        <f t="shared" ref="E69:K69" si="15">SUM(E63:E68)</f>
        <v>151.5</v>
      </c>
      <c r="F69" s="64">
        <f t="shared" si="15"/>
        <v>335.90000000000003</v>
      </c>
      <c r="G69" s="64">
        <f t="shared" si="15"/>
        <v>305.10000000000002</v>
      </c>
      <c r="H69" s="64">
        <f t="shared" si="15"/>
        <v>-641.29999999999995</v>
      </c>
      <c r="I69" s="64">
        <f t="shared" si="15"/>
        <v>70.199999999999932</v>
      </c>
      <c r="J69" s="64">
        <f t="shared" si="15"/>
        <v>-278.39999999999998</v>
      </c>
      <c r="K69" s="64">
        <f t="shared" si="15"/>
        <v>218.40000000000009</v>
      </c>
    </row>
    <row r="70" spans="2:11" x14ac:dyDescent="0.35">
      <c r="B70" s="65" t="s">
        <v>313</v>
      </c>
      <c r="C70" s="59" t="s">
        <v>167</v>
      </c>
      <c r="F70" s="66">
        <f t="shared" ref="F70:K70" si="16">ROUND(F69-(F46-E46),1)</f>
        <v>0</v>
      </c>
      <c r="G70" s="66">
        <f t="shared" si="16"/>
        <v>0</v>
      </c>
      <c r="H70" s="66">
        <f t="shared" si="16"/>
        <v>0</v>
      </c>
      <c r="I70" s="66">
        <f t="shared" si="16"/>
        <v>0</v>
      </c>
      <c r="J70" s="66">
        <f t="shared" si="16"/>
        <v>0</v>
      </c>
      <c r="K70" s="66">
        <f t="shared" si="16"/>
        <v>0</v>
      </c>
    </row>
    <row r="71" spans="2:11" ht="8" customHeight="1" x14ac:dyDescent="0.35"/>
    <row r="72" spans="2:11" ht="14.5" customHeight="1" x14ac:dyDescent="0.35">
      <c r="B72" s="9" t="s">
        <v>314</v>
      </c>
      <c r="C72" s="9"/>
      <c r="D72" s="9"/>
      <c r="E72" s="9"/>
      <c r="F72" s="9"/>
      <c r="G72" s="9"/>
      <c r="H72" s="9"/>
      <c r="I72" s="9"/>
      <c r="J72" s="9"/>
      <c r="K72" s="9"/>
    </row>
    <row r="73" spans="2:11" ht="5" customHeight="1" x14ac:dyDescent="0.35"/>
    <row r="74" spans="2:11" x14ac:dyDescent="0.35">
      <c r="B74" s="40" t="str">
        <f>"Volume – "&amp;Inputs!$C$73&amp;" ("&amp;Inputs!$C$76&amp;")"</f>
        <v>Volume – Norway (Customers ('000))</v>
      </c>
      <c r="C74" s="59" t="s">
        <v>315</v>
      </c>
      <c r="E74" s="60">
        <v>300</v>
      </c>
      <c r="F74" s="60">
        <v>281</v>
      </c>
      <c r="G74" s="60">
        <v>289</v>
      </c>
      <c r="H74" s="60">
        <v>316</v>
      </c>
      <c r="I74" s="60">
        <v>329</v>
      </c>
      <c r="J74" s="60">
        <v>337</v>
      </c>
      <c r="K74" s="60">
        <v>347</v>
      </c>
    </row>
    <row r="75" spans="2:11" x14ac:dyDescent="0.35">
      <c r="B75" s="40" t="str">
        <f>"Volume – "&amp;Inputs!$C$74&amp;" ("&amp;Inputs!$C$76&amp;")"</f>
        <v>Volume – Sweden (Customers ('000))</v>
      </c>
      <c r="C75" s="59" t="s">
        <v>315</v>
      </c>
      <c r="E75" s="60">
        <v>228</v>
      </c>
      <c r="F75" s="60">
        <v>212</v>
      </c>
      <c r="G75" s="60">
        <v>219</v>
      </c>
      <c r="H75" s="60">
        <v>247</v>
      </c>
      <c r="I75" s="60">
        <v>259</v>
      </c>
      <c r="J75" s="60">
        <v>267</v>
      </c>
      <c r="K75" s="60">
        <v>274</v>
      </c>
    </row>
    <row r="76" spans="2:11" x14ac:dyDescent="0.35">
      <c r="B76" s="40" t="str">
        <f>"Volume – "&amp;Inputs!$C$75&amp;" ("&amp;Inputs!$C$76&amp;")"</f>
        <v>Volume – Denmark &amp; Finland (Customers ('000))</v>
      </c>
      <c r="C76" s="59" t="s">
        <v>315</v>
      </c>
      <c r="E76" s="60">
        <v>118</v>
      </c>
      <c r="F76" s="60">
        <v>110</v>
      </c>
      <c r="G76" s="60">
        <v>117</v>
      </c>
      <c r="H76" s="60">
        <v>132</v>
      </c>
      <c r="I76" s="60">
        <v>143</v>
      </c>
      <c r="J76" s="60">
        <v>150</v>
      </c>
      <c r="K76" s="60">
        <v>158</v>
      </c>
    </row>
    <row r="77" spans="2:11" x14ac:dyDescent="0.35">
      <c r="B77" s="40" t="str">
        <f>"Locations – "&amp;Inputs!$C$73</f>
        <v>Locations – Norway</v>
      </c>
      <c r="C77" s="59" t="s">
        <v>315</v>
      </c>
      <c r="E77" s="60">
        <v>82</v>
      </c>
      <c r="F77" s="60">
        <v>83</v>
      </c>
      <c r="G77" s="60">
        <v>85</v>
      </c>
      <c r="H77" s="60">
        <v>88</v>
      </c>
      <c r="I77" s="60">
        <v>89</v>
      </c>
      <c r="J77" s="60">
        <v>91</v>
      </c>
      <c r="K77" s="60">
        <v>94</v>
      </c>
    </row>
    <row r="78" spans="2:11" x14ac:dyDescent="0.35">
      <c r="B78" s="40" t="str">
        <f>"Locations – "&amp;Inputs!$C$74</f>
        <v>Locations – Sweden</v>
      </c>
      <c r="C78" s="59" t="s">
        <v>315</v>
      </c>
      <c r="E78" s="60">
        <v>68</v>
      </c>
      <c r="F78" s="60">
        <v>69</v>
      </c>
      <c r="G78" s="60">
        <v>70</v>
      </c>
      <c r="H78" s="60">
        <v>73</v>
      </c>
      <c r="I78" s="60">
        <v>75</v>
      </c>
      <c r="J78" s="60">
        <v>76</v>
      </c>
      <c r="K78" s="60">
        <v>77</v>
      </c>
    </row>
    <row r="79" spans="2:11" x14ac:dyDescent="0.35">
      <c r="B79" s="40" t="str">
        <f>"Locations – "&amp;Inputs!$C$75</f>
        <v>Locations – Denmark &amp; Finland</v>
      </c>
      <c r="C79" s="59" t="s">
        <v>315</v>
      </c>
      <c r="E79" s="60">
        <v>32</v>
      </c>
      <c r="F79" s="60">
        <v>32</v>
      </c>
      <c r="G79" s="60">
        <v>33</v>
      </c>
      <c r="H79" s="60">
        <v>40</v>
      </c>
      <c r="I79" s="60">
        <v>42</v>
      </c>
      <c r="J79" s="60">
        <v>44</v>
      </c>
      <c r="K79" s="60">
        <v>46</v>
      </c>
    </row>
    <row r="80" spans="2:11" x14ac:dyDescent="0.35">
      <c r="B80" s="61" t="s">
        <v>316</v>
      </c>
      <c r="C80" s="62" t="s">
        <v>315</v>
      </c>
      <c r="D80" s="63"/>
      <c r="E80" s="64">
        <f t="shared" ref="E80:K80" si="17">E77+E78+E79</f>
        <v>182</v>
      </c>
      <c r="F80" s="64">
        <f t="shared" si="17"/>
        <v>184</v>
      </c>
      <c r="G80" s="64">
        <f t="shared" si="17"/>
        <v>188</v>
      </c>
      <c r="H80" s="64">
        <f t="shared" si="17"/>
        <v>201</v>
      </c>
      <c r="I80" s="64">
        <f t="shared" si="17"/>
        <v>206</v>
      </c>
      <c r="J80" s="64">
        <f t="shared" si="17"/>
        <v>211</v>
      </c>
      <c r="K80" s="64">
        <f t="shared" si="17"/>
        <v>217</v>
      </c>
    </row>
    <row r="81" spans="2:11" x14ac:dyDescent="0.35">
      <c r="B81" s="40" t="s">
        <v>317</v>
      </c>
      <c r="C81" s="59" t="s">
        <v>315</v>
      </c>
      <c r="E81" s="60">
        <v>3150</v>
      </c>
      <c r="F81" s="60">
        <v>2980</v>
      </c>
      <c r="G81" s="60">
        <v>3050</v>
      </c>
      <c r="H81" s="60">
        <v>3420</v>
      </c>
      <c r="I81" s="60">
        <v>3560</v>
      </c>
      <c r="J81" s="60">
        <v>3640</v>
      </c>
      <c r="K81" s="60">
        <v>3730</v>
      </c>
    </row>
    <row r="82" spans="2:11" x14ac:dyDescent="0.35">
      <c r="B82" s="40" t="s">
        <v>318</v>
      </c>
      <c r="C82" s="59" t="s">
        <v>190</v>
      </c>
      <c r="E82" s="67">
        <v>85</v>
      </c>
      <c r="F82" s="67">
        <v>85</v>
      </c>
      <c r="G82" s="67">
        <v>85</v>
      </c>
      <c r="H82" s="67">
        <v>85</v>
      </c>
      <c r="I82" s="67">
        <v>85</v>
      </c>
      <c r="J82" s="67">
        <v>85</v>
      </c>
      <c r="K82" s="67">
        <v>85</v>
      </c>
    </row>
    <row r="83" spans="2:11" x14ac:dyDescent="0.35">
      <c r="B83" s="40" t="s">
        <v>319</v>
      </c>
      <c r="C83" s="59" t="s">
        <v>165</v>
      </c>
      <c r="E83" s="68">
        <v>0</v>
      </c>
      <c r="F83" s="68">
        <v>0</v>
      </c>
      <c r="G83" s="68">
        <v>2.5</v>
      </c>
      <c r="H83" s="68">
        <v>3.5</v>
      </c>
      <c r="I83" s="68">
        <v>4.2</v>
      </c>
      <c r="J83" s="68">
        <v>4.8</v>
      </c>
      <c r="K83" s="68">
        <v>5.4</v>
      </c>
    </row>
    <row r="84" spans="2:11" x14ac:dyDescent="0.35">
      <c r="B84" s="40" t="s">
        <v>320</v>
      </c>
      <c r="C84" s="59" t="s">
        <v>165</v>
      </c>
      <c r="E84" s="68">
        <v>78</v>
      </c>
      <c r="F84" s="68">
        <v>64</v>
      </c>
      <c r="G84" s="68">
        <v>82</v>
      </c>
      <c r="H84" s="68">
        <v>88</v>
      </c>
      <c r="I84" s="68">
        <v>95</v>
      </c>
      <c r="J84" s="68">
        <v>104</v>
      </c>
      <c r="K84" s="68">
        <v>112</v>
      </c>
    </row>
    <row r="85" spans="2:11" ht="8" customHeight="1" x14ac:dyDescent="0.35"/>
    <row r="86" spans="2:11" ht="14.5" customHeight="1" x14ac:dyDescent="0.35">
      <c r="B86" s="9" t="s">
        <v>321</v>
      </c>
      <c r="C86" s="9"/>
      <c r="D86" s="9"/>
      <c r="E86" s="9"/>
      <c r="F86" s="9"/>
      <c r="G86" s="9"/>
      <c r="H86" s="9"/>
      <c r="I86" s="9"/>
      <c r="J86" s="9"/>
      <c r="K86" s="9"/>
    </row>
    <row r="87" spans="2:11" ht="5" customHeight="1" x14ac:dyDescent="0.35"/>
    <row r="88" spans="2:11" x14ac:dyDescent="0.35">
      <c r="B88" s="65" t="s">
        <v>322</v>
      </c>
      <c r="C88" s="59" t="s">
        <v>323</v>
      </c>
      <c r="F88" s="69">
        <f t="shared" ref="F88:K88" si="18">F12/E12-1</f>
        <v>-8.4960422163588345E-2</v>
      </c>
      <c r="G88" s="69">
        <f t="shared" si="18"/>
        <v>5.7670126874279193E-2</v>
      </c>
      <c r="H88" s="69">
        <f t="shared" si="18"/>
        <v>0.16194111232279162</v>
      </c>
      <c r="I88" s="69">
        <f t="shared" si="18"/>
        <v>9.9718442045987787E-2</v>
      </c>
      <c r="J88" s="69">
        <f t="shared" si="18"/>
        <v>7.6381480691273707E-2</v>
      </c>
      <c r="K88" s="69">
        <f t="shared" si="18"/>
        <v>7.6907829534192285E-2</v>
      </c>
    </row>
    <row r="89" spans="2:11" x14ac:dyDescent="0.35">
      <c r="B89" s="65" t="str">
        <f>"  Revenue growth – "&amp;Inputs!$C$73</f>
        <v xml:space="preserve">  Revenue growth – Norway</v>
      </c>
      <c r="C89" s="59" t="s">
        <v>323</v>
      </c>
      <c r="F89" s="69">
        <f t="shared" ref="F89:K91" si="19">F9/E9-1</f>
        <v>-8.2051282051282093E-2</v>
      </c>
      <c r="G89" s="69">
        <f t="shared" si="19"/>
        <v>5.027932960893855E-2</v>
      </c>
      <c r="H89" s="69">
        <f t="shared" si="19"/>
        <v>0.1436170212765957</v>
      </c>
      <c r="I89" s="69">
        <f t="shared" si="19"/>
        <v>8.8372093023255882E-2</v>
      </c>
      <c r="J89" s="69">
        <f t="shared" si="19"/>
        <v>7.0512820512820484E-2</v>
      </c>
      <c r="K89" s="69">
        <f t="shared" si="19"/>
        <v>7.385229540918159E-2</v>
      </c>
    </row>
    <row r="90" spans="2:11" x14ac:dyDescent="0.35">
      <c r="B90" s="65" t="str">
        <f>"  Revenue growth – "&amp;Inputs!$C$74</f>
        <v xml:space="preserve">  Revenue growth – Sweden</v>
      </c>
      <c r="C90" s="59" t="s">
        <v>323</v>
      </c>
      <c r="F90" s="69">
        <f t="shared" si="19"/>
        <v>-8.8709677419354871E-2</v>
      </c>
      <c r="G90" s="69">
        <f t="shared" si="19"/>
        <v>5.3097345132743445E-2</v>
      </c>
      <c r="H90" s="69">
        <f t="shared" si="19"/>
        <v>0.17647058823529416</v>
      </c>
      <c r="I90" s="69">
        <f t="shared" si="19"/>
        <v>0.10357142857142865</v>
      </c>
      <c r="J90" s="69">
        <f t="shared" si="19"/>
        <v>7.7669902912621325E-2</v>
      </c>
      <c r="K90" s="69">
        <f t="shared" si="19"/>
        <v>7.2072072072072002E-2</v>
      </c>
    </row>
    <row r="91" spans="2:11" x14ac:dyDescent="0.35">
      <c r="B91" s="65" t="str">
        <f>"  Revenue growth – "&amp;Inputs!$C$75</f>
        <v xml:space="preserve">  Revenue growth – Denmark &amp; Finland</v>
      </c>
      <c r="C91" s="59" t="s">
        <v>323</v>
      </c>
      <c r="F91" s="69">
        <f t="shared" si="19"/>
        <v>-8.666666666666667E-2</v>
      </c>
      <c r="G91" s="69">
        <f t="shared" si="19"/>
        <v>9.1240875912408814E-2</v>
      </c>
      <c r="H91" s="69">
        <f t="shared" si="19"/>
        <v>0.19063545150501682</v>
      </c>
      <c r="I91" s="69">
        <f t="shared" si="19"/>
        <v>0.12640449438202239</v>
      </c>
      <c r="J91" s="69">
        <f t="shared" si="19"/>
        <v>9.1022443890274252E-2</v>
      </c>
      <c r="K91" s="69">
        <f t="shared" si="19"/>
        <v>9.4857142857142751E-2</v>
      </c>
    </row>
    <row r="92" spans="2:11" x14ac:dyDescent="0.35">
      <c r="B92" s="65" t="str">
        <f>"  Volume growth – "&amp;Inputs!$C$73</f>
        <v xml:space="preserve">  Volume growth – Norway</v>
      </c>
      <c r="C92" s="59" t="s">
        <v>323</v>
      </c>
      <c r="F92" s="69">
        <f t="shared" ref="F92:K94" si="20">F74/E74-1</f>
        <v>-6.3333333333333353E-2</v>
      </c>
      <c r="G92" s="69">
        <f t="shared" si="20"/>
        <v>2.8469750889679624E-2</v>
      </c>
      <c r="H92" s="69">
        <f t="shared" si="20"/>
        <v>9.3425605536332279E-2</v>
      </c>
      <c r="I92" s="69">
        <f t="shared" si="20"/>
        <v>4.1139240506329111E-2</v>
      </c>
      <c r="J92" s="69">
        <f t="shared" si="20"/>
        <v>2.4316109422492405E-2</v>
      </c>
      <c r="K92" s="69">
        <f t="shared" si="20"/>
        <v>2.9673590504450953E-2</v>
      </c>
    </row>
    <row r="93" spans="2:11" x14ac:dyDescent="0.35">
      <c r="B93" s="65" t="str">
        <f>"  Volume growth – "&amp;Inputs!$C$74</f>
        <v xml:space="preserve">  Volume growth – Sweden</v>
      </c>
      <c r="C93" s="59" t="s">
        <v>323</v>
      </c>
      <c r="F93" s="69">
        <f t="shared" si="20"/>
        <v>-7.0175438596491224E-2</v>
      </c>
      <c r="G93" s="69">
        <f t="shared" si="20"/>
        <v>3.3018867924528239E-2</v>
      </c>
      <c r="H93" s="69">
        <f t="shared" si="20"/>
        <v>0.12785388127853881</v>
      </c>
      <c r="I93" s="69">
        <f t="shared" si="20"/>
        <v>4.8582995951417018E-2</v>
      </c>
      <c r="J93" s="69">
        <f t="shared" si="20"/>
        <v>3.0888030888030826E-2</v>
      </c>
      <c r="K93" s="69">
        <f t="shared" si="20"/>
        <v>2.621722846441954E-2</v>
      </c>
    </row>
    <row r="94" spans="2:11" x14ac:dyDescent="0.35">
      <c r="B94" s="65" t="str">
        <f>"  Volume growth – "&amp;Inputs!$C$75</f>
        <v xml:space="preserve">  Volume growth – Denmark &amp; Finland</v>
      </c>
      <c r="C94" s="59" t="s">
        <v>323</v>
      </c>
      <c r="F94" s="69">
        <f t="shared" si="20"/>
        <v>-6.7796610169491567E-2</v>
      </c>
      <c r="G94" s="69">
        <f t="shared" si="20"/>
        <v>6.3636363636363713E-2</v>
      </c>
      <c r="H94" s="69">
        <f t="shared" si="20"/>
        <v>0.12820512820512819</v>
      </c>
      <c r="I94" s="69">
        <f t="shared" si="20"/>
        <v>8.3333333333333259E-2</v>
      </c>
      <c r="J94" s="69">
        <f t="shared" si="20"/>
        <v>4.8951048951048959E-2</v>
      </c>
      <c r="K94" s="69">
        <f t="shared" si="20"/>
        <v>5.3333333333333233E-2</v>
      </c>
    </row>
    <row r="95" spans="2:11" x14ac:dyDescent="0.35">
      <c r="B95" s="65" t="str">
        <f>"  Price/mix growth – "&amp;Inputs!$C$73</f>
        <v xml:space="preserve">  Price/mix growth – Norway</v>
      </c>
      <c r="C95" s="59" t="s">
        <v>323</v>
      </c>
      <c r="F95" s="69">
        <f t="shared" ref="F95:K97" si="21">(1+F89)/(1+F92)-1</f>
        <v>-1.9983575143717514E-2</v>
      </c>
      <c r="G95" s="69">
        <f t="shared" si="21"/>
        <v>2.120585335678804E-2</v>
      </c>
      <c r="H95" s="69">
        <f t="shared" si="21"/>
        <v>4.5902908699164913E-2</v>
      </c>
      <c r="I95" s="69">
        <f t="shared" si="21"/>
        <v>4.5366508800452454E-2</v>
      </c>
      <c r="J95" s="69">
        <f t="shared" si="21"/>
        <v>4.510005326029054E-2</v>
      </c>
      <c r="K95" s="69">
        <f t="shared" si="21"/>
        <v>4.2905543380098665E-2</v>
      </c>
    </row>
    <row r="96" spans="2:11" x14ac:dyDescent="0.35">
      <c r="B96" s="65" t="str">
        <f>"  Price/mix growth – "&amp;Inputs!$C$74</f>
        <v xml:space="preserve">  Price/mix growth – Sweden</v>
      </c>
      <c r="C96" s="59" t="s">
        <v>323</v>
      </c>
      <c r="F96" s="69">
        <f t="shared" si="21"/>
        <v>-1.9933049300060901E-2</v>
      </c>
      <c r="G96" s="69">
        <f t="shared" si="21"/>
        <v>1.9436699397906931E-2</v>
      </c>
      <c r="H96" s="69">
        <f t="shared" si="21"/>
        <v>4.3105501309835814E-2</v>
      </c>
      <c r="I96" s="69">
        <f t="shared" si="21"/>
        <v>5.2440706012134575E-2</v>
      </c>
      <c r="J96" s="69">
        <f t="shared" si="21"/>
        <v>4.5380167993891218E-2</v>
      </c>
      <c r="K96" s="69">
        <f t="shared" si="21"/>
        <v>4.4683369500887693E-2</v>
      </c>
    </row>
    <row r="97" spans="2:11" x14ac:dyDescent="0.35">
      <c r="B97" s="65" t="str">
        <f>"  Price/mix growth – "&amp;Inputs!$C$75</f>
        <v xml:space="preserve">  Price/mix growth – Denmark &amp; Finland</v>
      </c>
      <c r="C97" s="59" t="s">
        <v>323</v>
      </c>
      <c r="F97" s="69">
        <f t="shared" si="21"/>
        <v>-2.0242424242424173E-2</v>
      </c>
      <c r="G97" s="69">
        <f t="shared" si="21"/>
        <v>2.5952960259529645E-2</v>
      </c>
      <c r="H97" s="69">
        <f t="shared" si="21"/>
        <v>5.5335968379446765E-2</v>
      </c>
      <c r="I97" s="69">
        <f t="shared" si="21"/>
        <v>3.9757994814174635E-2</v>
      </c>
      <c r="J97" s="69">
        <f t="shared" si="21"/>
        <v>4.0108063175394726E-2</v>
      </c>
      <c r="K97" s="69">
        <f t="shared" si="21"/>
        <v>3.9421338155515295E-2</v>
      </c>
    </row>
    <row r="98" spans="2:11" x14ac:dyDescent="0.35">
      <c r="B98" s="65" t="str">
        <f>"  Revenue per unit – "&amp;Inputs!$C$73</f>
        <v xml:space="preserve">  Revenue per unit – Norway</v>
      </c>
      <c r="C98" s="59" t="s">
        <v>324</v>
      </c>
      <c r="E98" s="70">
        <f t="shared" ref="E98:K100" si="22">IF(E74=0,0,E9/E74)</f>
        <v>6.5</v>
      </c>
      <c r="F98" s="70">
        <f t="shared" si="22"/>
        <v>6.370106761565836</v>
      </c>
      <c r="G98" s="70">
        <f t="shared" si="22"/>
        <v>6.5051903114186853</v>
      </c>
      <c r="H98" s="70">
        <f t="shared" si="22"/>
        <v>6.8037974683544302</v>
      </c>
      <c r="I98" s="70">
        <f t="shared" si="22"/>
        <v>7.1124620060790278</v>
      </c>
      <c r="J98" s="70">
        <f t="shared" si="22"/>
        <v>7.4332344213649852</v>
      </c>
      <c r="K98" s="70">
        <f t="shared" si="22"/>
        <v>7.7521613832853022</v>
      </c>
    </row>
    <row r="99" spans="2:11" x14ac:dyDescent="0.35">
      <c r="B99" s="65" t="str">
        <f>"  Revenue per unit – "&amp;Inputs!$C$74</f>
        <v xml:space="preserve">  Revenue per unit – Sweden</v>
      </c>
      <c r="C99" s="59" t="s">
        <v>324</v>
      </c>
      <c r="E99" s="70">
        <f t="shared" si="22"/>
        <v>5.4385964912280702</v>
      </c>
      <c r="F99" s="70">
        <f t="shared" si="22"/>
        <v>5.3301886792452828</v>
      </c>
      <c r="G99" s="70">
        <f t="shared" si="22"/>
        <v>5.4337899543378994</v>
      </c>
      <c r="H99" s="70">
        <f t="shared" si="22"/>
        <v>5.668016194331984</v>
      </c>
      <c r="I99" s="70">
        <f t="shared" si="22"/>
        <v>5.9652509652509655</v>
      </c>
      <c r="J99" s="70">
        <f t="shared" si="22"/>
        <v>6.2359550561797752</v>
      </c>
      <c r="K99" s="70">
        <f t="shared" si="22"/>
        <v>6.5145985401459852</v>
      </c>
    </row>
    <row r="100" spans="2:11" x14ac:dyDescent="0.35">
      <c r="B100" s="65" t="str">
        <f>"  Revenue per unit – "&amp;Inputs!$C$75</f>
        <v xml:space="preserve">  Revenue per unit – Denmark &amp; Finland</v>
      </c>
      <c r="C100" s="59" t="s">
        <v>324</v>
      </c>
      <c r="E100" s="70">
        <f t="shared" si="22"/>
        <v>5.0847457627118642</v>
      </c>
      <c r="F100" s="70">
        <f t="shared" si="22"/>
        <v>4.9818181818181815</v>
      </c>
      <c r="G100" s="70">
        <f t="shared" si="22"/>
        <v>5.1111111111111107</v>
      </c>
      <c r="H100" s="70">
        <f t="shared" si="22"/>
        <v>5.3939393939393936</v>
      </c>
      <c r="I100" s="70">
        <f t="shared" si="22"/>
        <v>5.6083916083916083</v>
      </c>
      <c r="J100" s="70">
        <f t="shared" si="22"/>
        <v>5.833333333333333</v>
      </c>
      <c r="K100" s="70">
        <f t="shared" si="22"/>
        <v>6.0632911392405067</v>
      </c>
    </row>
    <row r="101" spans="2:11" x14ac:dyDescent="0.35">
      <c r="B101" s="65" t="str">
        <f>"  Net new locations – "&amp;Inputs!$C$73</f>
        <v xml:space="preserve">  Net new locations – Norway</v>
      </c>
      <c r="C101" s="59" t="s">
        <v>315</v>
      </c>
      <c r="F101" s="71">
        <f t="shared" ref="F101:K103" si="23">F77-E77</f>
        <v>1</v>
      </c>
      <c r="G101" s="71">
        <f t="shared" si="23"/>
        <v>2</v>
      </c>
      <c r="H101" s="71">
        <f t="shared" si="23"/>
        <v>3</v>
      </c>
      <c r="I101" s="71">
        <f t="shared" si="23"/>
        <v>1</v>
      </c>
      <c r="J101" s="71">
        <f t="shared" si="23"/>
        <v>2</v>
      </c>
      <c r="K101" s="71">
        <f t="shared" si="23"/>
        <v>3</v>
      </c>
    </row>
    <row r="102" spans="2:11" x14ac:dyDescent="0.35">
      <c r="B102" s="65" t="str">
        <f>"  Net new locations – "&amp;Inputs!$C$74</f>
        <v xml:space="preserve">  Net new locations – Sweden</v>
      </c>
      <c r="C102" s="59" t="s">
        <v>315</v>
      </c>
      <c r="F102" s="71">
        <f t="shared" si="23"/>
        <v>1</v>
      </c>
      <c r="G102" s="71">
        <f t="shared" si="23"/>
        <v>1</v>
      </c>
      <c r="H102" s="71">
        <f t="shared" si="23"/>
        <v>3</v>
      </c>
      <c r="I102" s="71">
        <f t="shared" si="23"/>
        <v>2</v>
      </c>
      <c r="J102" s="71">
        <f t="shared" si="23"/>
        <v>1</v>
      </c>
      <c r="K102" s="71">
        <f t="shared" si="23"/>
        <v>1</v>
      </c>
    </row>
    <row r="103" spans="2:11" x14ac:dyDescent="0.35">
      <c r="B103" s="65" t="str">
        <f>"  Net new locations – "&amp;Inputs!$C$75</f>
        <v xml:space="preserve">  Net new locations – Denmark &amp; Finland</v>
      </c>
      <c r="C103" s="59" t="s">
        <v>315</v>
      </c>
      <c r="F103" s="71">
        <f t="shared" si="23"/>
        <v>0</v>
      </c>
      <c r="G103" s="71">
        <f t="shared" si="23"/>
        <v>1</v>
      </c>
      <c r="H103" s="71">
        <f t="shared" si="23"/>
        <v>7</v>
      </c>
      <c r="I103" s="71">
        <f t="shared" si="23"/>
        <v>2</v>
      </c>
      <c r="J103" s="71">
        <f t="shared" si="23"/>
        <v>2</v>
      </c>
      <c r="K103" s="71">
        <f t="shared" si="23"/>
        <v>2</v>
      </c>
    </row>
    <row r="104" spans="2:11" x14ac:dyDescent="0.35">
      <c r="B104" s="65" t="str">
        <f>"  Volume per location – "&amp;Inputs!$C$73</f>
        <v xml:space="preserve">  Volume per location – Norway</v>
      </c>
      <c r="C104" s="59" t="s">
        <v>315</v>
      </c>
      <c r="E104" s="70">
        <f t="shared" ref="E104:K106" si="24">IF(E77=0,0,E74/E77)</f>
        <v>3.6585365853658538</v>
      </c>
      <c r="F104" s="70">
        <f t="shared" si="24"/>
        <v>3.3855421686746987</v>
      </c>
      <c r="G104" s="70">
        <f t="shared" si="24"/>
        <v>3.4</v>
      </c>
      <c r="H104" s="70">
        <f t="shared" si="24"/>
        <v>3.5909090909090908</v>
      </c>
      <c r="I104" s="70">
        <f t="shared" si="24"/>
        <v>3.696629213483146</v>
      </c>
      <c r="J104" s="70">
        <f t="shared" si="24"/>
        <v>3.7032967032967035</v>
      </c>
      <c r="K104" s="70">
        <f t="shared" si="24"/>
        <v>3.6914893617021276</v>
      </c>
    </row>
    <row r="105" spans="2:11" x14ac:dyDescent="0.35">
      <c r="B105" s="65" t="str">
        <f>"  Volume per location – "&amp;Inputs!$C$74</f>
        <v xml:space="preserve">  Volume per location – Sweden</v>
      </c>
      <c r="C105" s="59" t="s">
        <v>315</v>
      </c>
      <c r="E105" s="70">
        <f t="shared" si="24"/>
        <v>3.3529411764705883</v>
      </c>
      <c r="F105" s="70">
        <f t="shared" si="24"/>
        <v>3.0724637681159419</v>
      </c>
      <c r="G105" s="70">
        <f t="shared" si="24"/>
        <v>3.1285714285714286</v>
      </c>
      <c r="H105" s="70">
        <f t="shared" si="24"/>
        <v>3.3835616438356166</v>
      </c>
      <c r="I105" s="70">
        <f t="shared" si="24"/>
        <v>3.4533333333333331</v>
      </c>
      <c r="J105" s="70">
        <f t="shared" si="24"/>
        <v>3.513157894736842</v>
      </c>
      <c r="K105" s="70">
        <f t="shared" si="24"/>
        <v>3.5584415584415585</v>
      </c>
    </row>
    <row r="106" spans="2:11" x14ac:dyDescent="0.35">
      <c r="B106" s="65" t="str">
        <f>"  Volume per location – "&amp;Inputs!$C$75</f>
        <v xml:space="preserve">  Volume per location – Denmark &amp; Finland</v>
      </c>
      <c r="C106" s="59" t="s">
        <v>315</v>
      </c>
      <c r="E106" s="70">
        <f t="shared" si="24"/>
        <v>3.6875</v>
      </c>
      <c r="F106" s="70">
        <f t="shared" si="24"/>
        <v>3.4375</v>
      </c>
      <c r="G106" s="70">
        <f t="shared" si="24"/>
        <v>3.5454545454545454</v>
      </c>
      <c r="H106" s="70">
        <f t="shared" si="24"/>
        <v>3.3</v>
      </c>
      <c r="I106" s="70">
        <f t="shared" si="24"/>
        <v>3.4047619047619047</v>
      </c>
      <c r="J106" s="70">
        <f t="shared" si="24"/>
        <v>3.4090909090909092</v>
      </c>
      <c r="K106" s="70">
        <f t="shared" si="24"/>
        <v>3.4347826086956523</v>
      </c>
    </row>
    <row r="107" spans="2:11" x14ac:dyDescent="0.35">
      <c r="B107" s="65" t="str">
        <f>"  Like-for-like growth in volume per location – "&amp;Inputs!$C$73</f>
        <v xml:space="preserve">  Like-for-like growth in volume per location – Norway</v>
      </c>
      <c r="C107" s="59" t="s">
        <v>323</v>
      </c>
      <c r="F107" s="69">
        <f t="shared" ref="F107:K109" si="25">IF(E104=0,0,F104/E104-1)</f>
        <v>-7.4618473895582405E-2</v>
      </c>
      <c r="G107" s="69">
        <f t="shared" si="25"/>
        <v>4.270462633451988E-3</v>
      </c>
      <c r="H107" s="69">
        <f t="shared" si="25"/>
        <v>5.6149732620320858E-2</v>
      </c>
      <c r="I107" s="69">
        <f t="shared" si="25"/>
        <v>2.9441046792774817E-2</v>
      </c>
      <c r="J107" s="69">
        <f t="shared" si="25"/>
        <v>1.8036674571628719E-3</v>
      </c>
      <c r="K107" s="69">
        <f t="shared" si="25"/>
        <v>-3.1883325967548837E-3</v>
      </c>
    </row>
    <row r="108" spans="2:11" x14ac:dyDescent="0.35">
      <c r="B108" s="65" t="str">
        <f>"  Like-for-like growth in volume per location – "&amp;Inputs!$C$74</f>
        <v xml:space="preserve">  Like-for-like growth in volume per location – Sweden</v>
      </c>
      <c r="C108" s="59" t="s">
        <v>323</v>
      </c>
      <c r="F108" s="69">
        <f t="shared" si="25"/>
        <v>-8.3651156877701527E-2</v>
      </c>
      <c r="G108" s="69">
        <f t="shared" si="25"/>
        <v>1.8261455525606429E-2</v>
      </c>
      <c r="H108" s="69">
        <f t="shared" si="25"/>
        <v>8.1503721773941384E-2</v>
      </c>
      <c r="I108" s="69">
        <f t="shared" si="25"/>
        <v>2.0620782726045839E-2</v>
      </c>
      <c r="J108" s="69">
        <f t="shared" si="25"/>
        <v>1.7323714692135672E-2</v>
      </c>
      <c r="K108" s="69">
        <f t="shared" si="25"/>
        <v>1.2889731990855635E-2</v>
      </c>
    </row>
    <row r="109" spans="2:11" x14ac:dyDescent="0.35">
      <c r="B109" s="65" t="str">
        <f>"  Like-for-like growth in volume per location – "&amp;Inputs!$C$75</f>
        <v xml:space="preserve">  Like-for-like growth in volume per location – Denmark &amp; Finland</v>
      </c>
      <c r="C109" s="59" t="s">
        <v>323</v>
      </c>
      <c r="F109" s="69">
        <f t="shared" si="25"/>
        <v>-6.7796610169491567E-2</v>
      </c>
      <c r="G109" s="69">
        <f t="shared" si="25"/>
        <v>3.140495867768589E-2</v>
      </c>
      <c r="H109" s="69">
        <f t="shared" si="25"/>
        <v>-6.9230769230769318E-2</v>
      </c>
      <c r="I109" s="69">
        <f t="shared" si="25"/>
        <v>3.1746031746031855E-2</v>
      </c>
      <c r="J109" s="69">
        <f t="shared" si="25"/>
        <v>1.2714558169104606E-3</v>
      </c>
      <c r="K109" s="69">
        <f t="shared" si="25"/>
        <v>7.5362318840579423E-3</v>
      </c>
    </row>
    <row r="110" spans="2:11" x14ac:dyDescent="0.35">
      <c r="B110" s="65" t="s">
        <v>325</v>
      </c>
      <c r="C110" s="59" t="s">
        <v>323</v>
      </c>
      <c r="E110" s="69">
        <f t="shared" ref="E110:K110" si="26">E14/E12</f>
        <v>0.63501319261213718</v>
      </c>
      <c r="F110" s="69">
        <f t="shared" si="26"/>
        <v>0.62200115340253748</v>
      </c>
      <c r="G110" s="69">
        <f t="shared" si="26"/>
        <v>0.62799890948745907</v>
      </c>
      <c r="H110" s="69">
        <f t="shared" si="26"/>
        <v>0.61900516189582355</v>
      </c>
      <c r="I110" s="69">
        <f t="shared" si="26"/>
        <v>0.62400256027309575</v>
      </c>
      <c r="J110" s="69">
        <f t="shared" si="26"/>
        <v>0.62999008919722499</v>
      </c>
      <c r="K110" s="69">
        <f t="shared" si="26"/>
        <v>0.63399595067182035</v>
      </c>
    </row>
    <row r="111" spans="2:11" x14ac:dyDescent="0.35">
      <c r="B111" s="65" t="s">
        <v>326</v>
      </c>
      <c r="C111" s="59" t="s">
        <v>323</v>
      </c>
      <c r="E111" s="69">
        <f t="shared" ref="E111:K111" si="27">-E13/E12</f>
        <v>0.36498680738786277</v>
      </c>
      <c r="F111" s="69">
        <f t="shared" si="27"/>
        <v>0.37799884659746252</v>
      </c>
      <c r="G111" s="69">
        <f t="shared" si="27"/>
        <v>0.37200109051254088</v>
      </c>
      <c r="H111" s="69">
        <f t="shared" si="27"/>
        <v>0.38099483810417645</v>
      </c>
      <c r="I111" s="69">
        <f t="shared" si="27"/>
        <v>0.37599743972690419</v>
      </c>
      <c r="J111" s="69">
        <f t="shared" si="27"/>
        <v>0.37000991080277501</v>
      </c>
      <c r="K111" s="69">
        <f t="shared" si="27"/>
        <v>0.36600404932817965</v>
      </c>
    </row>
    <row r="112" spans="2:11" x14ac:dyDescent="0.35">
      <c r="B112" s="65" t="s">
        <v>327</v>
      </c>
      <c r="C112" s="59" t="s">
        <v>323</v>
      </c>
      <c r="E112" s="69">
        <f t="shared" ref="E112:K112" si="28">-E15/E12</f>
        <v>0.23</v>
      </c>
      <c r="F112" s="69">
        <f t="shared" si="28"/>
        <v>0.24599192618223761</v>
      </c>
      <c r="G112" s="69">
        <f t="shared" si="28"/>
        <v>0.23800436205016356</v>
      </c>
      <c r="H112" s="69">
        <f t="shared" si="28"/>
        <v>0.22900046926325668</v>
      </c>
      <c r="I112" s="69">
        <f t="shared" si="28"/>
        <v>0.22400256027309581</v>
      </c>
      <c r="J112" s="69">
        <f t="shared" si="28"/>
        <v>0.2209910802775025</v>
      </c>
      <c r="K112" s="69">
        <f t="shared" si="28"/>
        <v>0.21800110436223083</v>
      </c>
    </row>
    <row r="113" spans="2:22" x14ac:dyDescent="0.35">
      <c r="B113" s="65" t="s">
        <v>328</v>
      </c>
      <c r="C113" s="59" t="s">
        <v>323</v>
      </c>
      <c r="E113" s="69">
        <f t="shared" ref="E113:K113" si="29">-E16/E12</f>
        <v>0.12799472295514513</v>
      </c>
      <c r="F113" s="69">
        <f t="shared" si="29"/>
        <v>0.13500576701268743</v>
      </c>
      <c r="G113" s="69">
        <f t="shared" si="29"/>
        <v>0.13099781897491822</v>
      </c>
      <c r="H113" s="69">
        <f t="shared" si="29"/>
        <v>0.12599718442045987</v>
      </c>
      <c r="I113" s="69">
        <f t="shared" si="29"/>
        <v>0.12299978664390869</v>
      </c>
      <c r="J113" s="69">
        <f t="shared" si="29"/>
        <v>0.12099108027750247</v>
      </c>
      <c r="K113" s="69">
        <f t="shared" si="29"/>
        <v>0.11899503036996134</v>
      </c>
    </row>
    <row r="114" spans="2:22" x14ac:dyDescent="0.35">
      <c r="B114" s="65" t="s">
        <v>329</v>
      </c>
      <c r="C114" s="59" t="s">
        <v>323</v>
      </c>
      <c r="E114" s="69">
        <f t="shared" ref="E114:K114" si="30">E17/E12</f>
        <v>0.27701846965699201</v>
      </c>
      <c r="F114" s="69">
        <f t="shared" si="30"/>
        <v>0.24100346020761243</v>
      </c>
      <c r="G114" s="69">
        <f t="shared" si="30"/>
        <v>0.25899672846237731</v>
      </c>
      <c r="H114" s="69">
        <f t="shared" si="30"/>
        <v>0.26400750821210694</v>
      </c>
      <c r="I114" s="69">
        <f t="shared" si="30"/>
        <v>0.27700021335609126</v>
      </c>
      <c r="J114" s="69">
        <f t="shared" si="30"/>
        <v>0.28800792864222002</v>
      </c>
      <c r="K114" s="69">
        <f t="shared" si="30"/>
        <v>0.29699981593962821</v>
      </c>
    </row>
    <row r="115" spans="2:22" x14ac:dyDescent="0.35">
      <c r="B115" s="65" t="s">
        <v>330</v>
      </c>
      <c r="C115" s="59" t="s">
        <v>323</v>
      </c>
      <c r="E115" s="69">
        <f t="shared" ref="E115:K115" si="31">-E32/E12</f>
        <v>8.4010554089709755E-2</v>
      </c>
      <c r="F115" s="69">
        <f t="shared" si="31"/>
        <v>9.2993079584775082E-2</v>
      </c>
      <c r="G115" s="69">
        <f t="shared" si="31"/>
        <v>8.9013086150490736E-2</v>
      </c>
      <c r="H115" s="69">
        <f t="shared" si="31"/>
        <v>8.2003754106053497E-2</v>
      </c>
      <c r="I115" s="69">
        <f t="shared" si="31"/>
        <v>8.000853424365266E-2</v>
      </c>
      <c r="J115" s="69">
        <f t="shared" si="31"/>
        <v>7.9008919722497531E-2</v>
      </c>
      <c r="K115" s="69">
        <f t="shared" si="31"/>
        <v>7.8004785569666849E-2</v>
      </c>
    </row>
    <row r="116" spans="2:22" x14ac:dyDescent="0.35">
      <c r="B116" s="65" t="s">
        <v>331</v>
      </c>
      <c r="C116" s="59" t="s">
        <v>323</v>
      </c>
      <c r="E116" s="69">
        <f t="shared" ref="E116:K116" si="32">E33/E12</f>
        <v>0.19300791556728222</v>
      </c>
      <c r="F116" s="69">
        <f t="shared" si="32"/>
        <v>0.14801038062283736</v>
      </c>
      <c r="G116" s="69">
        <f t="shared" si="32"/>
        <v>0.16998364231188659</v>
      </c>
      <c r="H116" s="69">
        <f t="shared" si="32"/>
        <v>0.18200375410605346</v>
      </c>
      <c r="I116" s="69">
        <f t="shared" si="32"/>
        <v>0.19699167911243859</v>
      </c>
      <c r="J116" s="69">
        <f t="shared" si="32"/>
        <v>0.20899900891972251</v>
      </c>
      <c r="K116" s="69">
        <f t="shared" si="32"/>
        <v>0.21899503036996135</v>
      </c>
    </row>
    <row r="117" spans="2:22" x14ac:dyDescent="0.35">
      <c r="B117" s="65" t="s">
        <v>332</v>
      </c>
      <c r="C117" s="59" t="s">
        <v>323</v>
      </c>
      <c r="E117" s="69">
        <f t="shared" ref="E117:K117" si="33">-E18/E12</f>
        <v>4.5989445910290243E-2</v>
      </c>
      <c r="F117" s="69">
        <f t="shared" si="33"/>
        <v>5.1009227220299887E-2</v>
      </c>
      <c r="G117" s="69">
        <f t="shared" si="33"/>
        <v>4.8991275899672844E-2</v>
      </c>
      <c r="H117" s="69">
        <f t="shared" si="33"/>
        <v>4.6011262318160488E-2</v>
      </c>
      <c r="I117" s="69">
        <f t="shared" si="33"/>
        <v>4.4996799658630258E-2</v>
      </c>
      <c r="J117" s="69">
        <f t="shared" si="33"/>
        <v>4.4995044598612491E-2</v>
      </c>
      <c r="K117" s="69">
        <f t="shared" si="33"/>
        <v>4.4008834897846495E-2</v>
      </c>
    </row>
    <row r="118" spans="2:22" x14ac:dyDescent="0.35">
      <c r="B118" s="65" t="s">
        <v>333</v>
      </c>
      <c r="C118" s="59" t="s">
        <v>323</v>
      </c>
      <c r="E118" s="69">
        <f t="shared" ref="E118:K118" si="34">E34/E12</f>
        <v>0.14701846965699197</v>
      </c>
      <c r="F118" s="69">
        <f t="shared" si="34"/>
        <v>9.7001153402537482E-2</v>
      </c>
      <c r="G118" s="69">
        <f t="shared" si="34"/>
        <v>0.12099236641221374</v>
      </c>
      <c r="H118" s="69">
        <f t="shared" si="34"/>
        <v>0.13599249178789297</v>
      </c>
      <c r="I118" s="69">
        <f t="shared" si="34"/>
        <v>0.15199487945380835</v>
      </c>
      <c r="J118" s="69">
        <f t="shared" si="34"/>
        <v>0.16400396432111003</v>
      </c>
      <c r="K118" s="69">
        <f t="shared" si="34"/>
        <v>0.17498619547211483</v>
      </c>
    </row>
    <row r="119" spans="2:22" x14ac:dyDescent="0.35">
      <c r="B119" s="65" t="s">
        <v>334</v>
      </c>
      <c r="C119" s="59" t="s">
        <v>323</v>
      </c>
      <c r="E119" s="69">
        <f t="shared" ref="E119:K119" si="35">-E64/E12</f>
        <v>5.2005277044854879E-2</v>
      </c>
      <c r="F119" s="69">
        <f t="shared" si="35"/>
        <v>3.5986159169550169E-2</v>
      </c>
      <c r="G119" s="69">
        <f t="shared" si="35"/>
        <v>4.4002181025081792E-2</v>
      </c>
      <c r="H119" s="69">
        <f t="shared" si="35"/>
        <v>5.6006569685593616E-2</v>
      </c>
      <c r="I119" s="69">
        <f t="shared" si="35"/>
        <v>5.400042671218263E-2</v>
      </c>
      <c r="J119" s="69">
        <f t="shared" si="35"/>
        <v>5.1000991080277502E-2</v>
      </c>
      <c r="K119" s="69">
        <f t="shared" si="35"/>
        <v>5.0009203018590097E-2</v>
      </c>
    </row>
    <row r="120" spans="2:22" x14ac:dyDescent="0.35">
      <c r="B120" s="65" t="s">
        <v>335</v>
      </c>
      <c r="C120" s="59" t="s">
        <v>336</v>
      </c>
      <c r="E120" s="72">
        <f t="shared" ref="E120:K120" si="36">IF(E18=0,0,E64/E18)</f>
        <v>1.1308089500860583</v>
      </c>
      <c r="F120" s="72">
        <f t="shared" si="36"/>
        <v>0.70548332391181456</v>
      </c>
      <c r="G120" s="72">
        <f t="shared" si="36"/>
        <v>0.89816360601001677</v>
      </c>
      <c r="H120" s="72">
        <f t="shared" si="36"/>
        <v>1.2172361040285569</v>
      </c>
      <c r="I120" s="72">
        <f t="shared" si="36"/>
        <v>1.200094831673779</v>
      </c>
      <c r="J120" s="72">
        <f t="shared" si="36"/>
        <v>1.1334801762114537</v>
      </c>
      <c r="K120" s="72">
        <f t="shared" si="36"/>
        <v>1.1363446256796319</v>
      </c>
    </row>
    <row r="121" spans="2:22" x14ac:dyDescent="0.35">
      <c r="B121" s="65" t="s">
        <v>337</v>
      </c>
      <c r="C121" s="59" t="s">
        <v>336</v>
      </c>
      <c r="F121" s="73" t="str">
        <f t="shared" ref="F121:K121" si="37">IF(-F64+F18&lt;=0,"n.m.",(F12-E12)/(-F64+F18))</f>
        <v>n.m.</v>
      </c>
      <c r="G121" s="73" t="str">
        <f t="shared" si="37"/>
        <v>n.m.</v>
      </c>
      <c r="H121" s="73">
        <f t="shared" si="37"/>
        <v>13.943661971830988</v>
      </c>
      <c r="I121" s="73">
        <f t="shared" si="37"/>
        <v>10.071090047393367</v>
      </c>
      <c r="J121" s="73">
        <f t="shared" si="37"/>
        <v>11.81518151815181</v>
      </c>
      <c r="K121" s="73">
        <f t="shared" si="37"/>
        <v>11.901840490797548</v>
      </c>
      <c r="V121" s="15" t="s">
        <v>338</v>
      </c>
    </row>
    <row r="122" spans="2:22" x14ac:dyDescent="0.35">
      <c r="B122" s="65" t="s">
        <v>339</v>
      </c>
      <c r="C122" s="59" t="s">
        <v>323</v>
      </c>
      <c r="E122" s="69">
        <f t="shared" ref="E122:K122" si="38">IF(E24=0,0,-E25/E24)</f>
        <v>0.23002616220567532</v>
      </c>
      <c r="F122" s="69">
        <f t="shared" si="38"/>
        <v>0.25309661436829067</v>
      </c>
      <c r="G122" s="69">
        <f t="shared" si="38"/>
        <v>0.21996996996997001</v>
      </c>
      <c r="H122" s="69">
        <f t="shared" si="38"/>
        <v>0.2199771254288983</v>
      </c>
      <c r="I122" s="69">
        <f t="shared" si="38"/>
        <v>0.2199211045364893</v>
      </c>
      <c r="J122" s="69">
        <f t="shared" si="38"/>
        <v>0.22004561921373944</v>
      </c>
      <c r="K122" s="69">
        <f t="shared" si="38"/>
        <v>0.22003906698839479</v>
      </c>
    </row>
    <row r="123" spans="2:22" x14ac:dyDescent="0.35">
      <c r="B123" s="40" t="s">
        <v>340</v>
      </c>
      <c r="C123" s="59" t="s">
        <v>167</v>
      </c>
      <c r="E123" s="49">
        <f t="shared" ref="E123:K123" si="39">E43+E44+E45-E56-E57</f>
        <v>-227.40000000000003</v>
      </c>
      <c r="F123" s="49">
        <f t="shared" si="39"/>
        <v>-180.3</v>
      </c>
      <c r="G123" s="49">
        <f t="shared" si="39"/>
        <v>-205.40000000000003</v>
      </c>
      <c r="H123" s="49">
        <f t="shared" si="39"/>
        <v>-260.00000000000006</v>
      </c>
      <c r="I123" s="49">
        <f t="shared" si="39"/>
        <v>-295.3</v>
      </c>
      <c r="J123" s="49">
        <f t="shared" si="39"/>
        <v>-322.90000000000003</v>
      </c>
      <c r="K123" s="49">
        <f t="shared" si="39"/>
        <v>-353.09999999999997</v>
      </c>
    </row>
    <row r="124" spans="2:22" x14ac:dyDescent="0.35">
      <c r="B124" s="65" t="s">
        <v>341</v>
      </c>
      <c r="C124" s="59" t="s">
        <v>323</v>
      </c>
      <c r="E124" s="69">
        <f t="shared" ref="E124:K124" si="40">E123/E12</f>
        <v>-6.0000000000000012E-2</v>
      </c>
      <c r="F124" s="69">
        <f t="shared" si="40"/>
        <v>-5.1989619377162635E-2</v>
      </c>
      <c r="G124" s="69">
        <f t="shared" si="40"/>
        <v>-5.599781897491822E-2</v>
      </c>
      <c r="H124" s="69">
        <f t="shared" si="40"/>
        <v>-6.1004223369310197E-2</v>
      </c>
      <c r="I124" s="69">
        <f t="shared" si="40"/>
        <v>-6.3004053765735007E-2</v>
      </c>
      <c r="J124" s="69">
        <f t="shared" si="40"/>
        <v>-6.400396432111001E-2</v>
      </c>
      <c r="K124" s="69">
        <f t="shared" si="40"/>
        <v>-6.4991717283268913E-2</v>
      </c>
    </row>
    <row r="125" spans="2:22" x14ac:dyDescent="0.35">
      <c r="B125" s="40" t="s">
        <v>342</v>
      </c>
      <c r="C125" s="59" t="s">
        <v>167</v>
      </c>
      <c r="E125" s="49">
        <f t="shared" ref="E125:K125" si="41">E123+E40+E39+E38</f>
        <v>2645.3999999999996</v>
      </c>
      <c r="F125" s="49">
        <f t="shared" si="41"/>
        <v>2640.4</v>
      </c>
      <c r="G125" s="49">
        <f t="shared" si="41"/>
        <v>2597</v>
      </c>
      <c r="H125" s="49">
        <f t="shared" si="41"/>
        <v>3385</v>
      </c>
      <c r="I125" s="49">
        <f t="shared" si="41"/>
        <v>3391.9</v>
      </c>
      <c r="J125" s="49">
        <f t="shared" si="41"/>
        <v>3844.6</v>
      </c>
      <c r="K125" s="49">
        <f t="shared" si="41"/>
        <v>3847</v>
      </c>
      <c r="V125" s="15" t="s">
        <v>343</v>
      </c>
    </row>
    <row r="126" spans="2:22" x14ac:dyDescent="0.35">
      <c r="B126" s="40" t="s">
        <v>344</v>
      </c>
      <c r="C126" s="59" t="s">
        <v>167</v>
      </c>
      <c r="E126" s="49">
        <f>E34*(1-Inputs!$C$77)</f>
        <v>434.6159999999997</v>
      </c>
      <c r="F126" s="49">
        <f>F34*(1-Inputs!$C$77)</f>
        <v>262.392</v>
      </c>
      <c r="G126" s="49">
        <f>G34*(1-Inputs!$C$77)</f>
        <v>346.16400000000004</v>
      </c>
      <c r="H126" s="49">
        <f>H34*(1-Inputs!$C$77)</f>
        <v>452.08799999999985</v>
      </c>
      <c r="I126" s="49">
        <f>I34*(1-Inputs!$C$77)</f>
        <v>555.6719999999998</v>
      </c>
      <c r="J126" s="49">
        <f>J34*(1-Inputs!$C$77)</f>
        <v>645.37200000000007</v>
      </c>
      <c r="K126" s="49">
        <f>K34*(1-Inputs!$C$77)</f>
        <v>741.54599999999994</v>
      </c>
    </row>
    <row r="127" spans="2:22" x14ac:dyDescent="0.35">
      <c r="B127" s="65" t="s">
        <v>345</v>
      </c>
      <c r="C127" s="59" t="s">
        <v>323</v>
      </c>
      <c r="F127" s="69">
        <f t="shared" ref="F127:K127" si="42">F126/AVERAGE(E125,F125)</f>
        <v>9.9281849483521895E-2</v>
      </c>
      <c r="G127" s="69">
        <f t="shared" si="42"/>
        <v>0.13218925421010427</v>
      </c>
      <c r="H127" s="69">
        <f t="shared" si="42"/>
        <v>0.15114944834503505</v>
      </c>
      <c r="I127" s="69">
        <f t="shared" si="42"/>
        <v>0.1639900249376558</v>
      </c>
      <c r="J127" s="69">
        <f t="shared" si="42"/>
        <v>0.17836578456436125</v>
      </c>
      <c r="K127" s="69">
        <f t="shared" si="42"/>
        <v>0.19281969941234592</v>
      </c>
    </row>
    <row r="128" spans="2:22" x14ac:dyDescent="0.35">
      <c r="B128" s="40" t="s">
        <v>206</v>
      </c>
      <c r="C128" s="59" t="s">
        <v>167</v>
      </c>
      <c r="E128" s="49">
        <f t="shared" ref="E128:K128" si="43">E51+E52-E46</f>
        <v>1148.5</v>
      </c>
      <c r="F128" s="49">
        <f t="shared" si="43"/>
        <v>962.6</v>
      </c>
      <c r="G128" s="49">
        <f t="shared" si="43"/>
        <v>607.5</v>
      </c>
      <c r="H128" s="49">
        <f t="shared" si="43"/>
        <v>1198.8</v>
      </c>
      <c r="I128" s="49">
        <f t="shared" si="43"/>
        <v>1028.5999999999999</v>
      </c>
      <c r="J128" s="49">
        <f t="shared" si="43"/>
        <v>1257</v>
      </c>
      <c r="K128" s="49">
        <f t="shared" si="43"/>
        <v>988.6</v>
      </c>
    </row>
    <row r="129" spans="2:11" x14ac:dyDescent="0.35">
      <c r="B129" s="65" t="s">
        <v>346</v>
      </c>
      <c r="C129" s="59" t="s">
        <v>336</v>
      </c>
      <c r="E129" s="73">
        <f t="shared" ref="E129:K129" si="44">IF(E33=0,0,E128/E33)</f>
        <v>1.5700615174299393</v>
      </c>
      <c r="F129" s="73">
        <f t="shared" si="44"/>
        <v>1.8753165789986366</v>
      </c>
      <c r="G129" s="73">
        <f t="shared" si="44"/>
        <v>0.97433841218925421</v>
      </c>
      <c r="H129" s="73">
        <f t="shared" si="44"/>
        <v>1.5454428258347301</v>
      </c>
      <c r="I129" s="73">
        <f t="shared" si="44"/>
        <v>1.1140474385356873</v>
      </c>
      <c r="J129" s="73">
        <f t="shared" si="44"/>
        <v>1.1921471927162366</v>
      </c>
      <c r="K129" s="73">
        <f t="shared" si="44"/>
        <v>0.83089594889897467</v>
      </c>
    </row>
    <row r="130" spans="2:11" x14ac:dyDescent="0.35">
      <c r="B130" s="40" t="s">
        <v>347</v>
      </c>
      <c r="C130" s="59" t="s">
        <v>165</v>
      </c>
      <c r="E130" s="74">
        <f t="shared" ref="E130:K130" si="45">E28/E82</f>
        <v>4.4564705882352902</v>
      </c>
      <c r="F130" s="74">
        <f t="shared" si="45"/>
        <v>2.1070588235294112</v>
      </c>
      <c r="G130" s="74">
        <f t="shared" si="45"/>
        <v>3.6305882352941166</v>
      </c>
      <c r="H130" s="74">
        <f t="shared" si="45"/>
        <v>4.7658823529411745</v>
      </c>
      <c r="I130" s="74">
        <f t="shared" si="45"/>
        <v>5.5282352941176427</v>
      </c>
      <c r="J130" s="74">
        <f t="shared" si="45"/>
        <v>6.7705882352941176</v>
      </c>
      <c r="K130" s="74">
        <f t="shared" si="45"/>
        <v>7.9058823529411777</v>
      </c>
    </row>
    <row r="131" spans="2:11" x14ac:dyDescent="0.35">
      <c r="B131" s="65" t="s">
        <v>348</v>
      </c>
      <c r="C131" s="59" t="s">
        <v>323</v>
      </c>
      <c r="E131" s="69">
        <f t="shared" ref="E131:K131" si="46">IF(E130&lt;=0,0,E83/E130)</f>
        <v>0</v>
      </c>
      <c r="F131" s="69">
        <f t="shared" si="46"/>
        <v>0</v>
      </c>
      <c r="G131" s="69">
        <f t="shared" si="46"/>
        <v>0.6885936487362283</v>
      </c>
      <c r="H131" s="69">
        <f t="shared" si="46"/>
        <v>0.73438657121698381</v>
      </c>
      <c r="I131" s="69">
        <f t="shared" si="46"/>
        <v>0.7597361140668234</v>
      </c>
      <c r="J131" s="69">
        <f t="shared" si="46"/>
        <v>0.70894874022589049</v>
      </c>
      <c r="K131" s="69">
        <f t="shared" si="46"/>
        <v>0.68303571428571419</v>
      </c>
    </row>
    <row r="132" spans="2:11" x14ac:dyDescent="0.35">
      <c r="B132" s="40" t="s">
        <v>349</v>
      </c>
      <c r="C132" s="59" t="s">
        <v>167</v>
      </c>
      <c r="F132" s="49">
        <f t="shared" ref="F132:K132" si="47">F126-F18+F64-(F123-E123)</f>
        <v>267.392</v>
      </c>
      <c r="G132" s="49">
        <f t="shared" si="47"/>
        <v>389.56400000000008</v>
      </c>
      <c r="H132" s="49">
        <f t="shared" si="47"/>
        <v>464.08799999999991</v>
      </c>
      <c r="I132" s="49">
        <f t="shared" si="47"/>
        <v>548.77199999999971</v>
      </c>
      <c r="J132" s="49">
        <f t="shared" si="47"/>
        <v>642.67200000000014</v>
      </c>
      <c r="K132" s="49">
        <f t="shared" si="47"/>
        <v>739.14599999999984</v>
      </c>
    </row>
    <row r="133" spans="2:11" x14ac:dyDescent="0.35">
      <c r="B133" s="65" t="s">
        <v>350</v>
      </c>
      <c r="C133" s="59" t="s">
        <v>323</v>
      </c>
      <c r="E133" s="69">
        <f t="shared" ref="E133:K133" si="48">IF(E32=0,0,E23/E32)</f>
        <v>0.20006281407035179</v>
      </c>
      <c r="F133" s="69">
        <f t="shared" si="48"/>
        <v>0.2</v>
      </c>
      <c r="G133" s="69">
        <f t="shared" si="48"/>
        <v>0.19999999999999998</v>
      </c>
      <c r="H133" s="69">
        <f t="shared" si="48"/>
        <v>0.2</v>
      </c>
      <c r="I133" s="69">
        <f t="shared" si="48"/>
        <v>0.2</v>
      </c>
      <c r="J133" s="69">
        <f t="shared" si="48"/>
        <v>0.19994982438534872</v>
      </c>
      <c r="K133" s="69">
        <f t="shared" si="48"/>
        <v>0.20009438414346389</v>
      </c>
    </row>
    <row r="134" spans="2:11" x14ac:dyDescent="0.35">
      <c r="B134" s="65" t="s">
        <v>351</v>
      </c>
      <c r="C134" s="59" t="s">
        <v>323</v>
      </c>
      <c r="E134" s="69">
        <f t="shared" ref="E134:K134" si="49">IF(E26=0,0,-E27/E26)</f>
        <v>9.9320439100888738E-3</v>
      </c>
      <c r="F134" s="69">
        <f t="shared" si="49"/>
        <v>9.950248756218907E-3</v>
      </c>
      <c r="G134" s="69">
        <f t="shared" si="49"/>
        <v>9.9454603785691393E-3</v>
      </c>
      <c r="H134" s="69">
        <f t="shared" si="49"/>
        <v>1.0019550342130991E-2</v>
      </c>
      <c r="I134" s="69">
        <f t="shared" si="49"/>
        <v>9.9030762747576995E-3</v>
      </c>
      <c r="J134" s="69">
        <f t="shared" si="49"/>
        <v>9.9776363323585068E-3</v>
      </c>
      <c r="K134" s="69">
        <f t="shared" si="49"/>
        <v>1.0017678255745432E-2</v>
      </c>
    </row>
    <row r="135" spans="2:11" x14ac:dyDescent="0.35">
      <c r="B135" s="65" t="s">
        <v>352</v>
      </c>
      <c r="C135" s="59" t="s">
        <v>323</v>
      </c>
      <c r="F135" s="69">
        <f t="shared" ref="F135:K135" si="50">IF(E128&lt;=0,0,-F22/E128)</f>
        <v>4.2838484980409229E-2</v>
      </c>
      <c r="G135" s="69">
        <f t="shared" si="50"/>
        <v>4.5917307292748809E-2</v>
      </c>
      <c r="H135" s="69">
        <f t="shared" si="50"/>
        <v>9.0534979423868317E-2</v>
      </c>
      <c r="I135" s="69">
        <f t="shared" si="50"/>
        <v>7.0070070070070073E-2</v>
      </c>
      <c r="J135" s="69">
        <f t="shared" si="50"/>
        <v>7.9817227299241691E-2</v>
      </c>
      <c r="K135" s="69">
        <f t="shared" si="50"/>
        <v>6.3961813842482104E-2</v>
      </c>
    </row>
  </sheetData>
  <mergeCells count="1">
    <mergeCell ref="E4:K4"/>
  </mergeCells>
  <printOptions horizontalCentered="1"/>
  <pageMargins left="0.4" right="0.4"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B1:V112"/>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19" width="9.453125" customWidth="1"/>
    <col min="20" max="20" width="12" customWidth="1"/>
    <col min="21" max="21" width="1.453125" customWidth="1"/>
    <col min="22" max="22" width="58" customWidth="1"/>
  </cols>
  <sheetData>
    <row r="1" spans="2:22" ht="24" customHeight="1" x14ac:dyDescent="0.4">
      <c r="B1" s="30" t="s">
        <v>353</v>
      </c>
      <c r="T1" s="54" t="str">
        <f>Inputs!$C$6&amp;"  |  Scenario: "&amp;Inputs!$C$53</f>
        <v>Example Company ASA  |  Scenario: Base</v>
      </c>
    </row>
    <row r="2" spans="2:22" x14ac:dyDescent="0.35">
      <c r="B2" s="15" t="s">
        <v>354</v>
      </c>
    </row>
    <row r="3" spans="2:22" hidden="1" x14ac:dyDescent="0.35">
      <c r="E3" s="55">
        <f>Inputs!$C$17+0</f>
        <v>2019</v>
      </c>
      <c r="F3" s="55">
        <f>Inputs!$C$17+1</f>
        <v>2020</v>
      </c>
      <c r="G3" s="55">
        <f>Inputs!$C$17+2</f>
        <v>2021</v>
      </c>
      <c r="H3" s="55">
        <f>Inputs!$C$17+3</f>
        <v>2022</v>
      </c>
      <c r="I3" s="55">
        <f>Inputs!$C$17+4</f>
        <v>2023</v>
      </c>
      <c r="J3" s="55">
        <f>Inputs!$C$17+5</f>
        <v>2024</v>
      </c>
      <c r="K3" s="55">
        <f>Inputs!$C$17+6</f>
        <v>2025</v>
      </c>
      <c r="L3" s="55">
        <f>Inputs!$C$19+0</f>
        <v>2026</v>
      </c>
      <c r="M3" s="55">
        <f>Inputs!$C$19+1</f>
        <v>2027</v>
      </c>
      <c r="N3" s="55">
        <f>Inputs!$C$19+2</f>
        <v>2028</v>
      </c>
      <c r="O3" s="55">
        <f>Inputs!$C$19+3</f>
        <v>2029</v>
      </c>
      <c r="P3" s="55">
        <f>Inputs!$C$19+4</f>
        <v>2030</v>
      </c>
      <c r="Q3" s="55">
        <f>Inputs!$C$19+5</f>
        <v>2031</v>
      </c>
      <c r="R3" s="55">
        <f>Inputs!$C$19+6</f>
        <v>2032</v>
      </c>
      <c r="S3" s="55">
        <f>Inputs!$C$19+7</f>
        <v>2033</v>
      </c>
    </row>
    <row r="4" spans="2:22" x14ac:dyDescent="0.35">
      <c r="E4" s="254" t="s">
        <v>262</v>
      </c>
      <c r="F4" s="255"/>
      <c r="G4" s="255"/>
      <c r="H4" s="255"/>
      <c r="I4" s="255"/>
      <c r="J4" s="255"/>
      <c r="K4" s="255"/>
      <c r="L4" s="254" t="s">
        <v>355</v>
      </c>
      <c r="M4" s="255"/>
      <c r="N4" s="255"/>
      <c r="O4" s="255"/>
      <c r="P4" s="255"/>
      <c r="Q4" s="255"/>
      <c r="R4" s="255"/>
      <c r="S4" s="255"/>
    </row>
    <row r="5" spans="2:22"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c r="L5" s="75" t="str">
        <f t="shared" ref="L5:S5" si="1">L3&amp;"E"</f>
        <v>2026E</v>
      </c>
      <c r="M5" s="75" t="str">
        <f t="shared" si="1"/>
        <v>2027E</v>
      </c>
      <c r="N5" s="75" t="str">
        <f t="shared" si="1"/>
        <v>2028E</v>
      </c>
      <c r="O5" s="75" t="str">
        <f t="shared" si="1"/>
        <v>2029E</v>
      </c>
      <c r="P5" s="75" t="str">
        <f t="shared" si="1"/>
        <v>2030E</v>
      </c>
      <c r="Q5" s="75" t="str">
        <f t="shared" si="1"/>
        <v>2031E</v>
      </c>
      <c r="R5" s="75" t="str">
        <f t="shared" si="1"/>
        <v>2032E</v>
      </c>
      <c r="S5" s="75" t="str">
        <f t="shared" si="1"/>
        <v>2033E</v>
      </c>
      <c r="T5" s="75" t="s">
        <v>356</v>
      </c>
      <c r="V5" s="9" t="s">
        <v>357</v>
      </c>
    </row>
    <row r="6" spans="2:22" ht="5" customHeight="1" x14ac:dyDescent="0.35"/>
    <row r="7" spans="2:22" x14ac:dyDescent="0.35">
      <c r="B7" s="11" t="s">
        <v>218</v>
      </c>
      <c r="E7" s="54" t="str">
        <f>Inputs!$C$53</f>
        <v>Base</v>
      </c>
      <c r="G7" s="76" t="str">
        <f>"Revenue build: "&amp;IF(Inputs!$C$72=2,"locations (like-for-like + new locations)","segments (volume x price/mix)")&amp;" – greyed-out rows are not used (switch on Inputs)"</f>
        <v>Revenue build: locations (like-for-like + new locations) – greyed-out rows are not used (switch on Inputs)</v>
      </c>
    </row>
    <row r="8" spans="2:22" x14ac:dyDescent="0.35">
      <c r="B8" s="40" t="s">
        <v>220</v>
      </c>
      <c r="E8" s="77">
        <f>Inputs!$C$54</f>
        <v>2</v>
      </c>
    </row>
    <row r="10" spans="2:22" ht="14.5" customHeight="1" x14ac:dyDescent="0.35">
      <c r="B10" s="9" t="s">
        <v>358</v>
      </c>
      <c r="C10" s="9"/>
      <c r="D10" s="9"/>
      <c r="E10" s="9"/>
      <c r="F10" s="9"/>
      <c r="G10" s="9"/>
      <c r="H10" s="9"/>
      <c r="I10" s="9"/>
      <c r="J10" s="9"/>
      <c r="K10" s="9"/>
      <c r="L10" s="9"/>
      <c r="M10" s="9"/>
      <c r="N10" s="9"/>
      <c r="O10" s="9"/>
      <c r="P10" s="9"/>
      <c r="Q10" s="9"/>
      <c r="R10" s="9"/>
      <c r="S10" s="9"/>
      <c r="T10" s="9"/>
    </row>
    <row r="11" spans="2:22" ht="5" customHeight="1" x14ac:dyDescent="0.35"/>
    <row r="12" spans="2:22" x14ac:dyDescent="0.35">
      <c r="B12" s="40" t="str">
        <f>"Volume growth – "&amp;Inputs!$C$73&amp;" (segment mode)"</f>
        <v>Volume growth – Norway (segment mode)</v>
      </c>
      <c r="C12" s="59" t="s">
        <v>323</v>
      </c>
      <c r="F12" s="78">
        <f>Hist!F92</f>
        <v>-6.3333333333333353E-2</v>
      </c>
      <c r="G12" s="78">
        <f>Hist!G92</f>
        <v>2.8469750889679624E-2</v>
      </c>
      <c r="H12" s="78">
        <f>Hist!H92</f>
        <v>9.3425605536332279E-2</v>
      </c>
      <c r="I12" s="78">
        <f>Hist!I92</f>
        <v>4.1139240506329111E-2</v>
      </c>
      <c r="J12" s="78">
        <f>Hist!J92</f>
        <v>2.4316109422492405E-2</v>
      </c>
      <c r="K12" s="78">
        <f>Hist!K92</f>
        <v>2.9673590504450953E-2</v>
      </c>
      <c r="L12" s="52">
        <v>2.5999999999999999E-2</v>
      </c>
      <c r="M12" s="52">
        <v>2.4E-2</v>
      </c>
      <c r="N12" s="52">
        <v>2.1999999999999999E-2</v>
      </c>
      <c r="O12" s="52">
        <v>0.02</v>
      </c>
      <c r="P12" s="52">
        <v>1.7999999999999999E-2</v>
      </c>
      <c r="Q12" s="52">
        <v>1.6E-2</v>
      </c>
      <c r="R12" s="52">
        <v>1.4E-2</v>
      </c>
      <c r="S12" s="52">
        <v>1.2E-2</v>
      </c>
      <c r="T12" s="79">
        <f t="shared" ref="T12:T40" si="2">IFERROR(AVERAGE(I12:K12),"")</f>
        <v>3.1709646811090821E-2</v>
      </c>
      <c r="V12" s="15" t="s">
        <v>359</v>
      </c>
    </row>
    <row r="13" spans="2:22" x14ac:dyDescent="0.35">
      <c r="B13" s="40" t="str">
        <f>"Price/mix growth – "&amp;Inputs!$C$73&amp;""</f>
        <v>Price/mix growth – Norway</v>
      </c>
      <c r="C13" s="59" t="s">
        <v>323</v>
      </c>
      <c r="F13" s="78">
        <f>Hist!F95</f>
        <v>-1.9983575143717514E-2</v>
      </c>
      <c r="G13" s="78">
        <f>Hist!G95</f>
        <v>2.120585335678804E-2</v>
      </c>
      <c r="H13" s="78">
        <f>Hist!H95</f>
        <v>4.5902908699164913E-2</v>
      </c>
      <c r="I13" s="78">
        <f>Hist!I95</f>
        <v>4.5366508800452454E-2</v>
      </c>
      <c r="J13" s="78">
        <f>Hist!J95</f>
        <v>4.510005326029054E-2</v>
      </c>
      <c r="K13" s="78">
        <f>Hist!K95</f>
        <v>4.2905543380098665E-2</v>
      </c>
      <c r="L13" s="52">
        <v>3.4000000000000002E-2</v>
      </c>
      <c r="M13" s="52">
        <v>0.03</v>
      </c>
      <c r="N13" s="52">
        <v>2.8000000000000001E-2</v>
      </c>
      <c r="O13" s="52">
        <v>2.5999999999999999E-2</v>
      </c>
      <c r="P13" s="52">
        <v>2.5000000000000001E-2</v>
      </c>
      <c r="Q13" s="52">
        <v>2.4E-2</v>
      </c>
      <c r="R13" s="52">
        <v>2.3E-2</v>
      </c>
      <c r="S13" s="52">
        <v>2.1999999999999999E-2</v>
      </c>
      <c r="T13" s="79">
        <f t="shared" si="2"/>
        <v>4.4457368480280555E-2</v>
      </c>
    </row>
    <row r="14" spans="2:22" x14ac:dyDescent="0.35">
      <c r="B14" s="40" t="str">
        <f>"Volume growth – "&amp;Inputs!$C$74&amp;" (segment mode)"</f>
        <v>Volume growth – Sweden (segment mode)</v>
      </c>
      <c r="C14" s="59" t="s">
        <v>323</v>
      </c>
      <c r="F14" s="78">
        <f>Hist!F93</f>
        <v>-7.0175438596491224E-2</v>
      </c>
      <c r="G14" s="78">
        <f>Hist!G93</f>
        <v>3.3018867924528239E-2</v>
      </c>
      <c r="H14" s="78">
        <f>Hist!H93</f>
        <v>0.12785388127853881</v>
      </c>
      <c r="I14" s="78">
        <f>Hist!I93</f>
        <v>4.8582995951417018E-2</v>
      </c>
      <c r="J14" s="78">
        <f>Hist!J93</f>
        <v>3.0888030888030826E-2</v>
      </c>
      <c r="K14" s="78">
        <f>Hist!K93</f>
        <v>2.621722846441954E-2</v>
      </c>
      <c r="L14" s="52">
        <v>0.03</v>
      </c>
      <c r="M14" s="52">
        <v>2.8000000000000001E-2</v>
      </c>
      <c r="N14" s="52">
        <v>2.5999999999999999E-2</v>
      </c>
      <c r="O14" s="52">
        <v>2.3E-2</v>
      </c>
      <c r="P14" s="52">
        <v>0.02</v>
      </c>
      <c r="Q14" s="52">
        <v>1.7999999999999999E-2</v>
      </c>
      <c r="R14" s="52">
        <v>1.4999999999999999E-2</v>
      </c>
      <c r="S14" s="52">
        <v>1.2999999999999999E-2</v>
      </c>
      <c r="T14" s="79">
        <f t="shared" si="2"/>
        <v>3.5229418434622461E-2</v>
      </c>
    </row>
    <row r="15" spans="2:22" x14ac:dyDescent="0.35">
      <c r="B15" s="40" t="str">
        <f>"Price/mix growth – "&amp;Inputs!$C$74&amp;""</f>
        <v>Price/mix growth – Sweden</v>
      </c>
      <c r="C15" s="59" t="s">
        <v>323</v>
      </c>
      <c r="F15" s="78">
        <f>Hist!F96</f>
        <v>-1.9933049300060901E-2</v>
      </c>
      <c r="G15" s="78">
        <f>Hist!G96</f>
        <v>1.9436699397906931E-2</v>
      </c>
      <c r="H15" s="78">
        <f>Hist!H96</f>
        <v>4.3105501309835814E-2</v>
      </c>
      <c r="I15" s="78">
        <f>Hist!I96</f>
        <v>5.2440706012134575E-2</v>
      </c>
      <c r="J15" s="78">
        <f>Hist!J96</f>
        <v>4.5380167993891218E-2</v>
      </c>
      <c r="K15" s="78">
        <f>Hist!K96</f>
        <v>4.4683369500887693E-2</v>
      </c>
      <c r="L15" s="52">
        <v>3.2000000000000001E-2</v>
      </c>
      <c r="M15" s="52">
        <v>0.03</v>
      </c>
      <c r="N15" s="52">
        <v>2.8000000000000001E-2</v>
      </c>
      <c r="O15" s="52">
        <v>2.5999999999999999E-2</v>
      </c>
      <c r="P15" s="52">
        <v>2.5000000000000001E-2</v>
      </c>
      <c r="Q15" s="52">
        <v>2.4E-2</v>
      </c>
      <c r="R15" s="52">
        <v>2.3E-2</v>
      </c>
      <c r="S15" s="52">
        <v>2.1999999999999999E-2</v>
      </c>
      <c r="T15" s="79">
        <f t="shared" si="2"/>
        <v>4.7501414502304495E-2</v>
      </c>
    </row>
    <row r="16" spans="2:22" x14ac:dyDescent="0.35">
      <c r="B16" s="40" t="str">
        <f>"Volume growth – "&amp;Inputs!$C$75&amp;" (segment mode)"</f>
        <v>Volume growth – Denmark &amp; Finland (segment mode)</v>
      </c>
      <c r="C16" s="59" t="s">
        <v>323</v>
      </c>
      <c r="F16" s="78">
        <f>Hist!F94</f>
        <v>-6.7796610169491567E-2</v>
      </c>
      <c r="G16" s="78">
        <f>Hist!G94</f>
        <v>6.3636363636363713E-2</v>
      </c>
      <c r="H16" s="78">
        <f>Hist!H94</f>
        <v>0.12820512820512819</v>
      </c>
      <c r="I16" s="78">
        <f>Hist!I94</f>
        <v>8.3333333333333259E-2</v>
      </c>
      <c r="J16" s="78">
        <f>Hist!J94</f>
        <v>4.8951048951048959E-2</v>
      </c>
      <c r="K16" s="78">
        <f>Hist!K94</f>
        <v>5.3333333333333233E-2</v>
      </c>
      <c r="L16" s="52">
        <v>5.5E-2</v>
      </c>
      <c r="M16" s="52">
        <v>0.05</v>
      </c>
      <c r="N16" s="52">
        <v>4.4999999999999998E-2</v>
      </c>
      <c r="O16" s="52">
        <v>0.04</v>
      </c>
      <c r="P16" s="52">
        <v>3.5000000000000003E-2</v>
      </c>
      <c r="Q16" s="52">
        <v>0.03</v>
      </c>
      <c r="R16" s="52">
        <v>2.5000000000000001E-2</v>
      </c>
      <c r="S16" s="52">
        <v>0.02</v>
      </c>
      <c r="T16" s="79">
        <f t="shared" si="2"/>
        <v>6.1872571872571815E-2</v>
      </c>
    </row>
    <row r="17" spans="2:22" x14ac:dyDescent="0.35">
      <c r="B17" s="40" t="str">
        <f>"Price/mix growth – "&amp;Inputs!$C$75&amp;""</f>
        <v>Price/mix growth – Denmark &amp; Finland</v>
      </c>
      <c r="C17" s="59" t="s">
        <v>323</v>
      </c>
      <c r="F17" s="78">
        <f>Hist!F97</f>
        <v>-2.0242424242424173E-2</v>
      </c>
      <c r="G17" s="78">
        <f>Hist!G97</f>
        <v>2.5952960259529645E-2</v>
      </c>
      <c r="H17" s="78">
        <f>Hist!H97</f>
        <v>5.5335968379446765E-2</v>
      </c>
      <c r="I17" s="78">
        <f>Hist!I97</f>
        <v>3.9757994814174635E-2</v>
      </c>
      <c r="J17" s="78">
        <f>Hist!J97</f>
        <v>4.0108063175394726E-2</v>
      </c>
      <c r="K17" s="78">
        <f>Hist!K97</f>
        <v>3.9421338155515295E-2</v>
      </c>
      <c r="L17" s="52">
        <v>0.03</v>
      </c>
      <c r="M17" s="52">
        <v>2.8000000000000001E-2</v>
      </c>
      <c r="N17" s="52">
        <v>2.7E-2</v>
      </c>
      <c r="O17" s="52">
        <v>2.5999999999999999E-2</v>
      </c>
      <c r="P17" s="52">
        <v>2.5000000000000001E-2</v>
      </c>
      <c r="Q17" s="52">
        <v>2.4E-2</v>
      </c>
      <c r="R17" s="52">
        <v>2.3E-2</v>
      </c>
      <c r="S17" s="52">
        <v>2.1999999999999999E-2</v>
      </c>
      <c r="T17" s="79">
        <f t="shared" si="2"/>
        <v>3.9762465381694888E-2</v>
      </c>
    </row>
    <row r="18" spans="2:22" x14ac:dyDescent="0.35">
      <c r="B18" s="40" t="str">
        <f>"Like-for-like growth per location – "&amp;Inputs!$C$73&amp;" (location mode)"</f>
        <v>Like-for-like growth per location – Norway (location mode)</v>
      </c>
      <c r="C18" s="59" t="s">
        <v>323</v>
      </c>
      <c r="F18" s="78">
        <f>Hist!F107</f>
        <v>-7.4618473895582405E-2</v>
      </c>
      <c r="G18" s="78">
        <f>Hist!G107</f>
        <v>4.270462633451988E-3</v>
      </c>
      <c r="H18" s="78">
        <f>Hist!H107</f>
        <v>5.6149732620320858E-2</v>
      </c>
      <c r="I18" s="78">
        <f>Hist!I107</f>
        <v>2.9441046792774817E-2</v>
      </c>
      <c r="J18" s="78">
        <f>Hist!J107</f>
        <v>1.8036674571628719E-3</v>
      </c>
      <c r="K18" s="78">
        <f>Hist!K107</f>
        <v>-3.1883325967548837E-3</v>
      </c>
      <c r="L18" s="52">
        <v>8.0000000000000002E-3</v>
      </c>
      <c r="M18" s="52">
        <v>7.0000000000000001E-3</v>
      </c>
      <c r="N18" s="52">
        <v>6.0000000000000001E-3</v>
      </c>
      <c r="O18" s="52">
        <v>5.0000000000000001E-3</v>
      </c>
      <c r="P18" s="52">
        <v>4.0000000000000001E-3</v>
      </c>
      <c r="Q18" s="52">
        <v>3.0000000000000001E-3</v>
      </c>
      <c r="R18" s="52">
        <v>3.0000000000000001E-3</v>
      </c>
      <c r="S18" s="52">
        <v>3.0000000000000001E-3</v>
      </c>
      <c r="T18" s="79">
        <f t="shared" si="2"/>
        <v>9.3521272177276016E-3</v>
      </c>
      <c r="V18" s="15" t="s">
        <v>360</v>
      </c>
    </row>
    <row r="19" spans="2:22" x14ac:dyDescent="0.35">
      <c r="B19" s="40" t="str">
        <f>"Like-for-like growth per location – "&amp;Inputs!$C$74&amp;" (location mode)"</f>
        <v>Like-for-like growth per location – Sweden (location mode)</v>
      </c>
      <c r="C19" s="59" t="s">
        <v>323</v>
      </c>
      <c r="F19" s="78">
        <f>Hist!F108</f>
        <v>-8.3651156877701527E-2</v>
      </c>
      <c r="G19" s="78">
        <f>Hist!G108</f>
        <v>1.8261455525606429E-2</v>
      </c>
      <c r="H19" s="78">
        <f>Hist!H108</f>
        <v>8.1503721773941384E-2</v>
      </c>
      <c r="I19" s="78">
        <f>Hist!I108</f>
        <v>2.0620782726045839E-2</v>
      </c>
      <c r="J19" s="78">
        <f>Hist!J108</f>
        <v>1.7323714692135672E-2</v>
      </c>
      <c r="K19" s="78">
        <f>Hist!K108</f>
        <v>1.2889731990855635E-2</v>
      </c>
      <c r="L19" s="52">
        <v>0.01</v>
      </c>
      <c r="M19" s="52">
        <v>8.9999999999999993E-3</v>
      </c>
      <c r="N19" s="52">
        <v>8.0000000000000002E-3</v>
      </c>
      <c r="O19" s="52">
        <v>7.0000000000000001E-3</v>
      </c>
      <c r="P19" s="52">
        <v>6.0000000000000001E-3</v>
      </c>
      <c r="Q19" s="52">
        <v>5.0000000000000001E-3</v>
      </c>
      <c r="R19" s="52">
        <v>4.0000000000000001E-3</v>
      </c>
      <c r="S19" s="52">
        <v>3.0000000000000001E-3</v>
      </c>
      <c r="T19" s="79">
        <f t="shared" si="2"/>
        <v>1.6944743136345714E-2</v>
      </c>
    </row>
    <row r="20" spans="2:22" x14ac:dyDescent="0.35">
      <c r="B20" s="40" t="str">
        <f>"Like-for-like growth per location – "&amp;Inputs!$C$75&amp;" (location mode)"</f>
        <v>Like-for-like growth per location – Denmark &amp; Finland (location mode)</v>
      </c>
      <c r="C20" s="59" t="s">
        <v>323</v>
      </c>
      <c r="F20" s="78">
        <f>Hist!F109</f>
        <v>-6.7796610169491567E-2</v>
      </c>
      <c r="G20" s="78">
        <f>Hist!G109</f>
        <v>3.140495867768589E-2</v>
      </c>
      <c r="H20" s="78">
        <f>Hist!H109</f>
        <v>-6.9230769230769318E-2</v>
      </c>
      <c r="I20" s="78">
        <f>Hist!I109</f>
        <v>3.1746031746031855E-2</v>
      </c>
      <c r="J20" s="78">
        <f>Hist!J109</f>
        <v>1.2714558169104606E-3</v>
      </c>
      <c r="K20" s="78">
        <f>Hist!K109</f>
        <v>7.5362318840579423E-3</v>
      </c>
      <c r="L20" s="52">
        <v>1.4999999999999999E-2</v>
      </c>
      <c r="M20" s="52">
        <v>1.4E-2</v>
      </c>
      <c r="N20" s="52">
        <v>1.2E-2</v>
      </c>
      <c r="O20" s="52">
        <v>0.01</v>
      </c>
      <c r="P20" s="52">
        <v>8.9999999999999993E-3</v>
      </c>
      <c r="Q20" s="52">
        <v>8.0000000000000002E-3</v>
      </c>
      <c r="R20" s="52">
        <v>6.0000000000000001E-3</v>
      </c>
      <c r="S20" s="52">
        <v>5.0000000000000001E-3</v>
      </c>
      <c r="T20" s="79">
        <f t="shared" si="2"/>
        <v>1.3517906482333419E-2</v>
      </c>
    </row>
    <row r="21" spans="2:22" x14ac:dyDescent="0.35">
      <c r="B21" s="40" t="str">
        <f>"Net new locations – "&amp;Inputs!$C$73&amp;" (location mode)"</f>
        <v>Net new locations – Norway (location mode)</v>
      </c>
      <c r="C21" s="59" t="s">
        <v>315</v>
      </c>
      <c r="F21" s="80">
        <f>Hist!F101</f>
        <v>1</v>
      </c>
      <c r="G21" s="80">
        <f>Hist!G101</f>
        <v>2</v>
      </c>
      <c r="H21" s="80">
        <f>Hist!H101</f>
        <v>3</v>
      </c>
      <c r="I21" s="80">
        <f>Hist!I101</f>
        <v>1</v>
      </c>
      <c r="J21" s="80">
        <f>Hist!J101</f>
        <v>2</v>
      </c>
      <c r="K21" s="80">
        <f>Hist!K101</f>
        <v>3</v>
      </c>
      <c r="L21" s="50">
        <v>2</v>
      </c>
      <c r="M21" s="50">
        <v>2</v>
      </c>
      <c r="N21" s="50">
        <v>2</v>
      </c>
      <c r="O21" s="50">
        <v>2</v>
      </c>
      <c r="P21" s="50">
        <v>2</v>
      </c>
      <c r="Q21" s="50">
        <v>1</v>
      </c>
      <c r="R21" s="50">
        <v>1</v>
      </c>
      <c r="S21" s="50">
        <v>1</v>
      </c>
      <c r="T21" s="81">
        <f t="shared" si="2"/>
        <v>2</v>
      </c>
      <c r="V21" s="15" t="s">
        <v>361</v>
      </c>
    </row>
    <row r="22" spans="2:22" x14ac:dyDescent="0.35">
      <c r="B22" s="40" t="str">
        <f>"Net new locations – "&amp;Inputs!$C$74&amp;" (location mode)"</f>
        <v>Net new locations – Sweden (location mode)</v>
      </c>
      <c r="C22" s="59" t="s">
        <v>315</v>
      </c>
      <c r="F22" s="80">
        <f>Hist!F102</f>
        <v>1</v>
      </c>
      <c r="G22" s="80">
        <f>Hist!G102</f>
        <v>1</v>
      </c>
      <c r="H22" s="80">
        <f>Hist!H102</f>
        <v>3</v>
      </c>
      <c r="I22" s="80">
        <f>Hist!I102</f>
        <v>2</v>
      </c>
      <c r="J22" s="80">
        <f>Hist!J102</f>
        <v>1</v>
      </c>
      <c r="K22" s="80">
        <f>Hist!K102</f>
        <v>1</v>
      </c>
      <c r="L22" s="50">
        <v>2</v>
      </c>
      <c r="M22" s="50">
        <v>2</v>
      </c>
      <c r="N22" s="50">
        <v>2</v>
      </c>
      <c r="O22" s="50">
        <v>2</v>
      </c>
      <c r="P22" s="50">
        <v>1</v>
      </c>
      <c r="Q22" s="50">
        <v>1</v>
      </c>
      <c r="R22" s="50">
        <v>1</v>
      </c>
      <c r="S22" s="50">
        <v>1</v>
      </c>
      <c r="T22" s="81">
        <f t="shared" si="2"/>
        <v>1.3333333333333333</v>
      </c>
    </row>
    <row r="23" spans="2:22" x14ac:dyDescent="0.35">
      <c r="B23" s="40" t="str">
        <f>"Net new locations – "&amp;Inputs!$C$75&amp;" (location mode)"</f>
        <v>Net new locations – Denmark &amp; Finland (location mode)</v>
      </c>
      <c r="C23" s="59" t="s">
        <v>315</v>
      </c>
      <c r="F23" s="80">
        <f>Hist!F103</f>
        <v>0</v>
      </c>
      <c r="G23" s="80">
        <f>Hist!G103</f>
        <v>1</v>
      </c>
      <c r="H23" s="80">
        <f>Hist!H103</f>
        <v>7</v>
      </c>
      <c r="I23" s="80">
        <f>Hist!I103</f>
        <v>2</v>
      </c>
      <c r="J23" s="80">
        <f>Hist!J103</f>
        <v>2</v>
      </c>
      <c r="K23" s="80">
        <f>Hist!K103</f>
        <v>2</v>
      </c>
      <c r="L23" s="50">
        <v>3</v>
      </c>
      <c r="M23" s="50">
        <v>3</v>
      </c>
      <c r="N23" s="50">
        <v>3</v>
      </c>
      <c r="O23" s="50">
        <v>2</v>
      </c>
      <c r="P23" s="50">
        <v>2</v>
      </c>
      <c r="Q23" s="50">
        <v>2</v>
      </c>
      <c r="R23" s="50">
        <v>1</v>
      </c>
      <c r="S23" s="50">
        <v>1</v>
      </c>
      <c r="T23" s="81">
        <f t="shared" si="2"/>
        <v>2</v>
      </c>
    </row>
    <row r="24" spans="2:22" x14ac:dyDescent="0.35">
      <c r="B24" s="40" t="s">
        <v>326</v>
      </c>
      <c r="C24" s="59" t="s">
        <v>323</v>
      </c>
      <c r="E24" s="78">
        <f>Hist!E111</f>
        <v>0.36498680738786277</v>
      </c>
      <c r="F24" s="78">
        <f>Hist!F111</f>
        <v>0.37799884659746252</v>
      </c>
      <c r="G24" s="78">
        <f>Hist!G111</f>
        <v>0.37200109051254088</v>
      </c>
      <c r="H24" s="78">
        <f>Hist!H111</f>
        <v>0.38099483810417645</v>
      </c>
      <c r="I24" s="78">
        <f>Hist!I111</f>
        <v>0.37599743972690419</v>
      </c>
      <c r="J24" s="78">
        <f>Hist!J111</f>
        <v>0.37000991080277501</v>
      </c>
      <c r="K24" s="78">
        <f>Hist!K111</f>
        <v>0.36600404932817965</v>
      </c>
      <c r="L24" s="52">
        <v>0.36599999999999999</v>
      </c>
      <c r="M24" s="52">
        <v>0.36599999999999999</v>
      </c>
      <c r="N24" s="52">
        <v>0.36599999999999999</v>
      </c>
      <c r="O24" s="52">
        <v>0.36599999999999999</v>
      </c>
      <c r="P24" s="52">
        <v>0.36599999999999999</v>
      </c>
      <c r="Q24" s="52">
        <v>0.36599999999999999</v>
      </c>
      <c r="R24" s="52">
        <v>0.36599999999999999</v>
      </c>
      <c r="S24" s="52">
        <v>0.36599999999999999</v>
      </c>
      <c r="T24" s="79">
        <f t="shared" si="2"/>
        <v>0.37067046661928621</v>
      </c>
    </row>
    <row r="25" spans="2:22" x14ac:dyDescent="0.35">
      <c r="B25" s="40" t="s">
        <v>362</v>
      </c>
      <c r="C25" s="59" t="s">
        <v>323</v>
      </c>
      <c r="E25" s="78">
        <f>Hist!E112</f>
        <v>0.23</v>
      </c>
      <c r="F25" s="78">
        <f>Hist!F112</f>
        <v>0.24599192618223761</v>
      </c>
      <c r="G25" s="78">
        <f>Hist!G112</f>
        <v>0.23800436205016356</v>
      </c>
      <c r="H25" s="78">
        <f>Hist!H112</f>
        <v>0.22900046926325668</v>
      </c>
      <c r="I25" s="78">
        <f>Hist!I112</f>
        <v>0.22400256027309581</v>
      </c>
      <c r="J25" s="78">
        <f>Hist!J112</f>
        <v>0.2209910802775025</v>
      </c>
      <c r="K25" s="78">
        <f>Hist!K112</f>
        <v>0.21800110436223083</v>
      </c>
      <c r="L25" s="52">
        <v>8.72E-2</v>
      </c>
      <c r="M25" s="52">
        <v>8.72E-2</v>
      </c>
      <c r="N25" s="52">
        <v>8.72E-2</v>
      </c>
      <c r="O25" s="52">
        <v>8.72E-2</v>
      </c>
      <c r="P25" s="52">
        <v>8.72E-2</v>
      </c>
      <c r="Q25" s="52">
        <v>8.72E-2</v>
      </c>
      <c r="R25" s="52">
        <v>8.72E-2</v>
      </c>
      <c r="S25" s="52">
        <v>8.72E-2</v>
      </c>
      <c r="T25" s="79">
        <f t="shared" si="2"/>
        <v>0.22099824830427639</v>
      </c>
      <c r="V25" s="15" t="s">
        <v>363</v>
      </c>
    </row>
    <row r="26" spans="2:22" x14ac:dyDescent="0.35">
      <c r="B26" s="40" t="s">
        <v>364</v>
      </c>
      <c r="C26" s="59" t="s">
        <v>323</v>
      </c>
      <c r="E26" s="78">
        <f>Hist!E113</f>
        <v>0.12799472295514513</v>
      </c>
      <c r="F26" s="78">
        <f>Hist!F113</f>
        <v>0.13500576701268743</v>
      </c>
      <c r="G26" s="78">
        <f>Hist!G113</f>
        <v>0.13099781897491822</v>
      </c>
      <c r="H26" s="78">
        <f>Hist!H113</f>
        <v>0.12599718442045987</v>
      </c>
      <c r="I26" s="78">
        <f>Hist!I113</f>
        <v>0.12299978664390869</v>
      </c>
      <c r="J26" s="78">
        <f>Hist!J113</f>
        <v>0.12099108027750247</v>
      </c>
      <c r="K26" s="78">
        <f>Hist!K113</f>
        <v>0.11899503036996134</v>
      </c>
      <c r="L26" s="52">
        <v>5.9499999999999997E-2</v>
      </c>
      <c r="M26" s="52">
        <v>5.9499999999999997E-2</v>
      </c>
      <c r="N26" s="52">
        <v>5.9499999999999997E-2</v>
      </c>
      <c r="O26" s="52">
        <v>5.9499999999999997E-2</v>
      </c>
      <c r="P26" s="52">
        <v>5.9499999999999997E-2</v>
      </c>
      <c r="Q26" s="52">
        <v>5.9499999999999997E-2</v>
      </c>
      <c r="R26" s="52">
        <v>5.9499999999999997E-2</v>
      </c>
      <c r="S26" s="52">
        <v>5.9499999999999997E-2</v>
      </c>
      <c r="T26" s="79">
        <f t="shared" si="2"/>
        <v>0.12099529909712416</v>
      </c>
      <c r="V26" s="15" t="s">
        <v>365</v>
      </c>
    </row>
    <row r="27" spans="2:22" x14ac:dyDescent="0.35">
      <c r="B27" s="40" t="s">
        <v>366</v>
      </c>
      <c r="C27" s="59" t="s">
        <v>323</v>
      </c>
      <c r="L27" s="52">
        <v>0.03</v>
      </c>
      <c r="M27" s="52">
        <v>2.7E-2</v>
      </c>
      <c r="N27" s="52">
        <v>2.5000000000000001E-2</v>
      </c>
      <c r="O27" s="52">
        <v>2.5000000000000001E-2</v>
      </c>
      <c r="P27" s="52">
        <v>2.5000000000000001E-2</v>
      </c>
      <c r="Q27" s="52">
        <v>2.5000000000000001E-2</v>
      </c>
      <c r="R27" s="52">
        <v>2.5000000000000001E-2</v>
      </c>
      <c r="S27" s="52">
        <v>2.5000000000000001E-2</v>
      </c>
      <c r="T27" s="79" t="str">
        <f t="shared" si="2"/>
        <v/>
      </c>
      <c r="V27" s="15" t="s">
        <v>367</v>
      </c>
    </row>
    <row r="28" spans="2:22" x14ac:dyDescent="0.35">
      <c r="B28" s="40" t="s">
        <v>368</v>
      </c>
      <c r="C28" s="59" t="s">
        <v>323</v>
      </c>
      <c r="L28" s="52">
        <v>1.4999999999999999E-2</v>
      </c>
      <c r="M28" s="52">
        <v>1.4999999999999999E-2</v>
      </c>
      <c r="N28" s="52">
        <v>1.4999999999999999E-2</v>
      </c>
      <c r="O28" s="52">
        <v>1.4999999999999999E-2</v>
      </c>
      <c r="P28" s="52">
        <v>1.4999999999999999E-2</v>
      </c>
      <c r="Q28" s="52">
        <v>1.4999999999999999E-2</v>
      </c>
      <c r="R28" s="52">
        <v>1.4999999999999999E-2</v>
      </c>
      <c r="S28" s="52">
        <v>1.4999999999999999E-2</v>
      </c>
      <c r="T28" s="79" t="str">
        <f t="shared" si="2"/>
        <v/>
      </c>
      <c r="V28" s="15" t="s">
        <v>369</v>
      </c>
    </row>
    <row r="29" spans="2:22" x14ac:dyDescent="0.35">
      <c r="B29" s="40" t="s">
        <v>370</v>
      </c>
      <c r="C29" s="59" t="s">
        <v>323</v>
      </c>
      <c r="E29" s="78">
        <f>Hist!E115</f>
        <v>8.4010554089709755E-2</v>
      </c>
      <c r="F29" s="78">
        <f>Hist!F115</f>
        <v>9.2993079584775082E-2</v>
      </c>
      <c r="G29" s="78">
        <f>Hist!G115</f>
        <v>8.9013086150490736E-2</v>
      </c>
      <c r="H29" s="78">
        <f>Hist!H115</f>
        <v>8.2003754106053497E-2</v>
      </c>
      <c r="I29" s="78">
        <f>Hist!I115</f>
        <v>8.000853424365266E-2</v>
      </c>
      <c r="J29" s="78">
        <f>Hist!J115</f>
        <v>7.9008919722497531E-2</v>
      </c>
      <c r="K29" s="78">
        <f>Hist!K115</f>
        <v>7.8004785569666849E-2</v>
      </c>
      <c r="L29" s="52">
        <v>7.8E-2</v>
      </c>
      <c r="M29" s="52">
        <v>7.8E-2</v>
      </c>
      <c r="N29" s="52">
        <v>7.6999999999999999E-2</v>
      </c>
      <c r="O29" s="52">
        <v>7.6999999999999999E-2</v>
      </c>
      <c r="P29" s="52">
        <v>7.6999999999999999E-2</v>
      </c>
      <c r="Q29" s="52">
        <v>7.6999999999999999E-2</v>
      </c>
      <c r="R29" s="52">
        <v>7.6999999999999999E-2</v>
      </c>
      <c r="S29" s="52">
        <v>7.6999999999999999E-2</v>
      </c>
      <c r="T29" s="79">
        <f t="shared" si="2"/>
        <v>7.900741317860567E-2</v>
      </c>
      <c r="V29" s="15" t="s">
        <v>371</v>
      </c>
    </row>
    <row r="30" spans="2:22" x14ac:dyDescent="0.35">
      <c r="B30" s="40" t="s">
        <v>332</v>
      </c>
      <c r="C30" s="59" t="s">
        <v>323</v>
      </c>
      <c r="E30" s="78">
        <f>Hist!E117</f>
        <v>4.5989445910290243E-2</v>
      </c>
      <c r="F30" s="78">
        <f>Hist!F117</f>
        <v>5.1009227220299887E-2</v>
      </c>
      <c r="G30" s="78">
        <f>Hist!G117</f>
        <v>4.8991275899672844E-2</v>
      </c>
      <c r="H30" s="78">
        <f>Hist!H117</f>
        <v>4.6011262318160488E-2</v>
      </c>
      <c r="I30" s="78">
        <f>Hist!I117</f>
        <v>4.4996799658630258E-2</v>
      </c>
      <c r="J30" s="78">
        <f>Hist!J117</f>
        <v>4.4995044598612491E-2</v>
      </c>
      <c r="K30" s="78">
        <f>Hist!K117</f>
        <v>4.4008834897846495E-2</v>
      </c>
      <c r="L30" s="52">
        <v>4.3999999999999997E-2</v>
      </c>
      <c r="M30" s="52">
        <v>4.3999999999999997E-2</v>
      </c>
      <c r="N30" s="52">
        <v>4.3999999999999997E-2</v>
      </c>
      <c r="O30" s="52">
        <v>4.3999999999999997E-2</v>
      </c>
      <c r="P30" s="52">
        <v>4.3999999999999997E-2</v>
      </c>
      <c r="Q30" s="52">
        <v>4.3999999999999997E-2</v>
      </c>
      <c r="R30" s="52">
        <v>4.3999999999999997E-2</v>
      </c>
      <c r="S30" s="52">
        <v>4.3999999999999997E-2</v>
      </c>
      <c r="T30" s="79">
        <f t="shared" si="2"/>
        <v>4.466689305169641E-2</v>
      </c>
    </row>
    <row r="31" spans="2:22" x14ac:dyDescent="0.35">
      <c r="B31" s="40" t="s">
        <v>372</v>
      </c>
      <c r="C31" s="59" t="s">
        <v>323</v>
      </c>
      <c r="E31" s="78">
        <f>Hist!E117</f>
        <v>4.5989445910290243E-2</v>
      </c>
      <c r="F31" s="78">
        <f>Hist!F117</f>
        <v>5.1009227220299887E-2</v>
      </c>
      <c r="G31" s="78">
        <f>Hist!G117</f>
        <v>4.8991275899672844E-2</v>
      </c>
      <c r="H31" s="78">
        <f>Hist!H117</f>
        <v>4.6011262318160488E-2</v>
      </c>
      <c r="I31" s="78">
        <f>Hist!I117</f>
        <v>4.4996799658630258E-2</v>
      </c>
      <c r="J31" s="78">
        <f>Hist!J117</f>
        <v>4.4995044598612491E-2</v>
      </c>
      <c r="K31" s="78">
        <f>Hist!K117</f>
        <v>4.4008834897846495E-2</v>
      </c>
      <c r="L31" s="52">
        <v>0.05</v>
      </c>
      <c r="M31" s="52">
        <v>0.05</v>
      </c>
      <c r="N31" s="52">
        <v>0.05</v>
      </c>
      <c r="O31" s="52">
        <v>0.05</v>
      </c>
      <c r="P31" s="52">
        <v>0.05</v>
      </c>
      <c r="Q31" s="52">
        <v>0.05</v>
      </c>
      <c r="R31" s="52">
        <v>0.05</v>
      </c>
      <c r="S31" s="52">
        <v>0.05</v>
      </c>
      <c r="T31" s="79">
        <f t="shared" si="2"/>
        <v>4.466689305169641E-2</v>
      </c>
      <c r="V31" s="15" t="s">
        <v>373</v>
      </c>
    </row>
    <row r="32" spans="2:22" x14ac:dyDescent="0.35">
      <c r="B32" s="40" t="s">
        <v>374</v>
      </c>
      <c r="C32" s="59" t="s">
        <v>336</v>
      </c>
      <c r="F32" s="82" t="str">
        <f>Hist!F121</f>
        <v>n.m.</v>
      </c>
      <c r="G32" s="82" t="str">
        <f>Hist!G121</f>
        <v>n.m.</v>
      </c>
      <c r="H32" s="82">
        <f>Hist!H121</f>
        <v>13.943661971830988</v>
      </c>
      <c r="I32" s="82">
        <f>Hist!I121</f>
        <v>10.071090047393367</v>
      </c>
      <c r="J32" s="82">
        <f>Hist!J121</f>
        <v>11.81518151815181</v>
      </c>
      <c r="K32" s="82">
        <f>Hist!K121</f>
        <v>11.901840490797548</v>
      </c>
      <c r="L32" s="53">
        <v>2</v>
      </c>
      <c r="M32" s="53">
        <v>2</v>
      </c>
      <c r="N32" s="53">
        <v>2</v>
      </c>
      <c r="O32" s="53">
        <v>2</v>
      </c>
      <c r="P32" s="53">
        <v>2</v>
      </c>
      <c r="Q32" s="53">
        <v>2</v>
      </c>
      <c r="R32" s="53">
        <v>2</v>
      </c>
      <c r="S32" s="53">
        <v>2</v>
      </c>
      <c r="T32" s="83">
        <f t="shared" si="2"/>
        <v>11.262704018780909</v>
      </c>
      <c r="V32" s="15" t="s">
        <v>375</v>
      </c>
    </row>
    <row r="33" spans="2:22" x14ac:dyDescent="0.35">
      <c r="B33" s="40" t="s">
        <v>376</v>
      </c>
      <c r="C33" s="59" t="s">
        <v>167</v>
      </c>
      <c r="L33" s="47">
        <v>22</v>
      </c>
      <c r="M33" s="47">
        <v>22.6</v>
      </c>
      <c r="N33" s="47">
        <v>23.1</v>
      </c>
      <c r="O33" s="47">
        <v>23.7</v>
      </c>
      <c r="P33" s="47">
        <v>24.3</v>
      </c>
      <c r="Q33" s="47">
        <v>24.9</v>
      </c>
      <c r="R33" s="47">
        <v>25.5</v>
      </c>
      <c r="S33" s="47">
        <v>26.1</v>
      </c>
      <c r="T33" s="84" t="str">
        <f t="shared" si="2"/>
        <v/>
      </c>
      <c r="V33" s="15" t="s">
        <v>377</v>
      </c>
    </row>
    <row r="34" spans="2:22" x14ac:dyDescent="0.35">
      <c r="B34" s="40" t="s">
        <v>341</v>
      </c>
      <c r="C34" s="59" t="s">
        <v>323</v>
      </c>
      <c r="E34" s="78">
        <f>Hist!E124</f>
        <v>-6.0000000000000012E-2</v>
      </c>
      <c r="F34" s="78">
        <f>Hist!F124</f>
        <v>-5.1989619377162635E-2</v>
      </c>
      <c r="G34" s="78">
        <f>Hist!G124</f>
        <v>-5.599781897491822E-2</v>
      </c>
      <c r="H34" s="78">
        <f>Hist!H124</f>
        <v>-6.1004223369310197E-2</v>
      </c>
      <c r="I34" s="78">
        <f>Hist!I124</f>
        <v>-6.3004053765735007E-2</v>
      </c>
      <c r="J34" s="78">
        <f>Hist!J124</f>
        <v>-6.400396432111001E-2</v>
      </c>
      <c r="K34" s="78">
        <f>Hist!K124</f>
        <v>-6.4991717283268913E-2</v>
      </c>
      <c r="L34" s="52">
        <v>-6.5000000000000002E-2</v>
      </c>
      <c r="M34" s="52">
        <v>-6.5000000000000002E-2</v>
      </c>
      <c r="N34" s="52">
        <v>-6.5000000000000002E-2</v>
      </c>
      <c r="O34" s="52">
        <v>-6.5000000000000002E-2</v>
      </c>
      <c r="P34" s="52">
        <v>-6.5000000000000002E-2</v>
      </c>
      <c r="Q34" s="52">
        <v>-6.5000000000000002E-2</v>
      </c>
      <c r="R34" s="52">
        <v>-6.5000000000000002E-2</v>
      </c>
      <c r="S34" s="52">
        <v>-6.5000000000000002E-2</v>
      </c>
      <c r="T34" s="79">
        <f t="shared" si="2"/>
        <v>-6.3999911790037986E-2</v>
      </c>
    </row>
    <row r="35" spans="2:22" x14ac:dyDescent="0.35">
      <c r="B35" s="40" t="s">
        <v>378</v>
      </c>
      <c r="C35" s="59" t="s">
        <v>323</v>
      </c>
      <c r="E35" s="78">
        <f>Hist!E122</f>
        <v>0.23002616220567532</v>
      </c>
      <c r="F35" s="78">
        <f>Hist!F122</f>
        <v>0.25309661436829067</v>
      </c>
      <c r="G35" s="78">
        <f>Hist!G122</f>
        <v>0.21996996996997001</v>
      </c>
      <c r="H35" s="78">
        <f>Hist!H122</f>
        <v>0.2199771254288983</v>
      </c>
      <c r="I35" s="78">
        <f>Hist!I122</f>
        <v>0.2199211045364893</v>
      </c>
      <c r="J35" s="78">
        <f>Hist!J122</f>
        <v>0.22004561921373944</v>
      </c>
      <c r="K35" s="78">
        <f>Hist!K122</f>
        <v>0.22003906698839479</v>
      </c>
      <c r="L35" s="52">
        <v>0.22</v>
      </c>
      <c r="M35" s="52">
        <v>0.22</v>
      </c>
      <c r="N35" s="52">
        <v>0.22</v>
      </c>
      <c r="O35" s="52">
        <v>0.22</v>
      </c>
      <c r="P35" s="52">
        <v>0.22</v>
      </c>
      <c r="Q35" s="52">
        <v>0.22</v>
      </c>
      <c r="R35" s="52">
        <v>0.22</v>
      </c>
      <c r="S35" s="52">
        <v>0.22</v>
      </c>
      <c r="T35" s="79">
        <f t="shared" si="2"/>
        <v>0.22000193024620784</v>
      </c>
    </row>
    <row r="36" spans="2:22" x14ac:dyDescent="0.35">
      <c r="B36" s="40" t="s">
        <v>379</v>
      </c>
      <c r="C36" s="59" t="s">
        <v>323</v>
      </c>
      <c r="E36" s="78">
        <f>Hist!E131</f>
        <v>0</v>
      </c>
      <c r="F36" s="78">
        <f>Hist!F131</f>
        <v>0</v>
      </c>
      <c r="G36" s="78">
        <f>Hist!G131</f>
        <v>0.6885936487362283</v>
      </c>
      <c r="H36" s="78">
        <f>Hist!H131</f>
        <v>0.73438657121698381</v>
      </c>
      <c r="I36" s="78">
        <f>Hist!I131</f>
        <v>0.7597361140668234</v>
      </c>
      <c r="J36" s="78">
        <f>Hist!J131</f>
        <v>0.70894874022589049</v>
      </c>
      <c r="K36" s="78">
        <f>Hist!K131</f>
        <v>0.68303571428571419</v>
      </c>
      <c r="L36" s="52">
        <v>0.65</v>
      </c>
      <c r="M36" s="52">
        <v>0.7</v>
      </c>
      <c r="N36" s="52">
        <v>0.75</v>
      </c>
      <c r="O36" s="52">
        <v>0.8</v>
      </c>
      <c r="P36" s="52">
        <v>0.85</v>
      </c>
      <c r="Q36" s="52">
        <v>0.9</v>
      </c>
      <c r="R36" s="52">
        <v>0.9</v>
      </c>
      <c r="S36" s="52">
        <v>0.9</v>
      </c>
      <c r="T36" s="79">
        <f t="shared" si="2"/>
        <v>0.71724018952614266</v>
      </c>
    </row>
    <row r="37" spans="2:22" x14ac:dyDescent="0.35">
      <c r="B37" s="40" t="s">
        <v>380</v>
      </c>
      <c r="C37" s="59" t="s">
        <v>323</v>
      </c>
      <c r="F37" s="78">
        <f>Hist!F135</f>
        <v>4.2838484980409229E-2</v>
      </c>
      <c r="G37" s="78">
        <f>Hist!G135</f>
        <v>4.5917307292748809E-2</v>
      </c>
      <c r="H37" s="78">
        <f>Hist!H135</f>
        <v>9.0534979423868317E-2</v>
      </c>
      <c r="I37" s="78">
        <f>Hist!I135</f>
        <v>7.0070070070070073E-2</v>
      </c>
      <c r="J37" s="78">
        <f>Hist!J135</f>
        <v>7.9817227299241691E-2</v>
      </c>
      <c r="K37" s="78">
        <f>Hist!K135</f>
        <v>6.3961813842482104E-2</v>
      </c>
      <c r="L37" s="52">
        <v>5.5E-2</v>
      </c>
      <c r="M37" s="52">
        <v>5.1999999999999998E-2</v>
      </c>
      <c r="N37" s="52">
        <v>0.05</v>
      </c>
      <c r="O37" s="52">
        <v>0.05</v>
      </c>
      <c r="P37" s="52">
        <v>0.05</v>
      </c>
      <c r="Q37" s="52">
        <v>0.05</v>
      </c>
      <c r="R37" s="52">
        <v>0.05</v>
      </c>
      <c r="S37" s="52">
        <v>0.05</v>
      </c>
      <c r="T37" s="79">
        <f t="shared" si="2"/>
        <v>7.1283037070597965E-2</v>
      </c>
    </row>
    <row r="38" spans="2:22" x14ac:dyDescent="0.35">
      <c r="B38" s="40" t="s">
        <v>381</v>
      </c>
      <c r="C38" s="59" t="s">
        <v>323</v>
      </c>
      <c r="L38" s="52">
        <v>1.4999999999999999E-2</v>
      </c>
      <c r="M38" s="52">
        <v>1.4999999999999999E-2</v>
      </c>
      <c r="N38" s="52">
        <v>1.4999999999999999E-2</v>
      </c>
      <c r="O38" s="52">
        <v>1.4999999999999999E-2</v>
      </c>
      <c r="P38" s="52">
        <v>1.4999999999999999E-2</v>
      </c>
      <c r="Q38" s="52">
        <v>1.4999999999999999E-2</v>
      </c>
      <c r="R38" s="52">
        <v>1.4999999999999999E-2</v>
      </c>
      <c r="S38" s="52">
        <v>1.4999999999999999E-2</v>
      </c>
      <c r="T38" s="79" t="str">
        <f t="shared" si="2"/>
        <v/>
      </c>
    </row>
    <row r="39" spans="2:22" x14ac:dyDescent="0.35">
      <c r="B39" s="40" t="s">
        <v>350</v>
      </c>
      <c r="C39" s="59" t="s">
        <v>323</v>
      </c>
      <c r="E39" s="78">
        <f>Hist!E133</f>
        <v>0.20006281407035179</v>
      </c>
      <c r="F39" s="78">
        <f>Hist!F133</f>
        <v>0.2</v>
      </c>
      <c r="G39" s="78">
        <f>Hist!G133</f>
        <v>0.19999999999999998</v>
      </c>
      <c r="H39" s="78">
        <f>Hist!H133</f>
        <v>0.2</v>
      </c>
      <c r="I39" s="78">
        <f>Hist!I133</f>
        <v>0.2</v>
      </c>
      <c r="J39" s="78">
        <f>Hist!J133</f>
        <v>0.19994982438534872</v>
      </c>
      <c r="K39" s="78">
        <f>Hist!K133</f>
        <v>0.20009438414346389</v>
      </c>
      <c r="L39" s="52">
        <v>0.2</v>
      </c>
      <c r="M39" s="52">
        <v>0.2</v>
      </c>
      <c r="N39" s="52">
        <v>0.2</v>
      </c>
      <c r="O39" s="52">
        <v>0.2</v>
      </c>
      <c r="P39" s="52">
        <v>0.2</v>
      </c>
      <c r="Q39" s="52">
        <v>0.2</v>
      </c>
      <c r="R39" s="52">
        <v>0.2</v>
      </c>
      <c r="S39" s="52">
        <v>0.2</v>
      </c>
      <c r="T39" s="79">
        <f t="shared" si="2"/>
        <v>0.20001473617627089</v>
      </c>
    </row>
    <row r="40" spans="2:22" x14ac:dyDescent="0.35">
      <c r="B40" s="40" t="s">
        <v>351</v>
      </c>
      <c r="C40" s="59" t="s">
        <v>323</v>
      </c>
      <c r="E40" s="78">
        <f>Hist!E134</f>
        <v>9.9320439100888738E-3</v>
      </c>
      <c r="F40" s="78">
        <f>Hist!F134</f>
        <v>9.950248756218907E-3</v>
      </c>
      <c r="G40" s="78">
        <f>Hist!G134</f>
        <v>9.9454603785691393E-3</v>
      </c>
      <c r="H40" s="78">
        <f>Hist!H134</f>
        <v>1.0019550342130991E-2</v>
      </c>
      <c r="I40" s="78">
        <f>Hist!I134</f>
        <v>9.9030762747576995E-3</v>
      </c>
      <c r="J40" s="78">
        <f>Hist!J134</f>
        <v>9.9776363323585068E-3</v>
      </c>
      <c r="K40" s="78">
        <f>Hist!K134</f>
        <v>1.0017678255745432E-2</v>
      </c>
      <c r="L40" s="52">
        <v>0.01</v>
      </c>
      <c r="M40" s="52">
        <v>0.01</v>
      </c>
      <c r="N40" s="52">
        <v>0.01</v>
      </c>
      <c r="O40" s="52">
        <v>0.01</v>
      </c>
      <c r="P40" s="52">
        <v>0.01</v>
      </c>
      <c r="Q40" s="52">
        <v>0.01</v>
      </c>
      <c r="R40" s="52">
        <v>0.01</v>
      </c>
      <c r="S40" s="52">
        <v>0.01</v>
      </c>
      <c r="T40" s="79">
        <f t="shared" si="2"/>
        <v>9.9661302876205473E-3</v>
      </c>
    </row>
    <row r="42" spans="2:22" x14ac:dyDescent="0.35">
      <c r="B42" s="31" t="s">
        <v>382</v>
      </c>
      <c r="C42" s="31"/>
      <c r="D42" s="31"/>
      <c r="E42" s="31"/>
      <c r="F42" s="31"/>
      <c r="G42" s="31"/>
      <c r="H42" s="31"/>
      <c r="I42" s="31"/>
      <c r="J42" s="31"/>
      <c r="K42" s="31"/>
      <c r="L42" s="31"/>
      <c r="M42" s="31"/>
      <c r="N42" s="31"/>
      <c r="O42" s="31"/>
      <c r="P42" s="31"/>
      <c r="Q42" s="31"/>
      <c r="R42" s="31"/>
      <c r="S42" s="31"/>
      <c r="T42" s="31"/>
    </row>
    <row r="43" spans="2:22" x14ac:dyDescent="0.35">
      <c r="B43" s="18" t="s">
        <v>383</v>
      </c>
      <c r="C43" s="85"/>
      <c r="D43" s="85"/>
      <c r="E43" s="86" t="s">
        <v>155</v>
      </c>
      <c r="F43" s="86" t="s">
        <v>158</v>
      </c>
      <c r="G43" s="86" t="s">
        <v>161</v>
      </c>
      <c r="H43" s="86" t="s">
        <v>384</v>
      </c>
      <c r="I43" s="85"/>
      <c r="J43" s="18" t="s">
        <v>385</v>
      </c>
      <c r="K43" s="85"/>
      <c r="L43" s="85"/>
      <c r="M43" s="85"/>
      <c r="N43" s="85"/>
      <c r="O43" s="85"/>
      <c r="P43" s="85"/>
      <c r="Q43" s="85"/>
      <c r="R43" s="85"/>
      <c r="S43" s="85"/>
      <c r="T43" s="85"/>
    </row>
    <row r="44" spans="2:22" x14ac:dyDescent="0.35">
      <c r="B44" s="40" t="s">
        <v>386</v>
      </c>
      <c r="E44" s="87">
        <v>-1.4999999999999999E-2</v>
      </c>
      <c r="F44" s="87">
        <v>0</v>
      </c>
      <c r="G44" s="87">
        <v>0.01</v>
      </c>
      <c r="H44" s="88">
        <f>CHOOSE(Inputs!$C$54,E44,F44,G44)</f>
        <v>0</v>
      </c>
      <c r="J44" s="15" t="s">
        <v>387</v>
      </c>
    </row>
    <row r="45" spans="2:22" x14ac:dyDescent="0.35">
      <c r="B45" s="40" t="s">
        <v>388</v>
      </c>
      <c r="E45" s="87">
        <v>-0.01</v>
      </c>
      <c r="F45" s="87">
        <v>0</v>
      </c>
      <c r="G45" s="87">
        <v>5.0000000000000001E-3</v>
      </c>
      <c r="H45" s="88">
        <f>CHOOSE(Inputs!$C$54,E45,F45,G45)</f>
        <v>0</v>
      </c>
      <c r="J45" s="15" t="s">
        <v>389</v>
      </c>
    </row>
    <row r="46" spans="2:22" x14ac:dyDescent="0.35">
      <c r="B46" s="40" t="s">
        <v>390</v>
      </c>
      <c r="E46" s="89">
        <v>-1</v>
      </c>
      <c r="F46" s="89">
        <v>0</v>
      </c>
      <c r="G46" s="89">
        <v>1</v>
      </c>
      <c r="H46" s="90">
        <f>CHOOSE(Inputs!$C$54,E46,F46,G46)</f>
        <v>0</v>
      </c>
      <c r="J46" s="15" t="s">
        <v>391</v>
      </c>
    </row>
    <row r="47" spans="2:22" x14ac:dyDescent="0.35">
      <c r="B47" s="40" t="s">
        <v>392</v>
      </c>
      <c r="E47" s="87">
        <v>0.01</v>
      </c>
      <c r="F47" s="87">
        <v>0</v>
      </c>
      <c r="G47" s="87">
        <v>-5.0000000000000001E-3</v>
      </c>
      <c r="H47" s="88">
        <f>CHOOSE(Inputs!$C$54,E47,F47,G47)</f>
        <v>0</v>
      </c>
      <c r="J47" s="15" t="s">
        <v>393</v>
      </c>
    </row>
    <row r="48" spans="2:22" x14ac:dyDescent="0.35">
      <c r="B48" s="40" t="s">
        <v>394</v>
      </c>
      <c r="E48" s="87">
        <v>5.0000000000000001E-3</v>
      </c>
      <c r="F48" s="87">
        <v>0</v>
      </c>
      <c r="G48" s="87">
        <v>-3.0000000000000001E-3</v>
      </c>
      <c r="H48" s="88">
        <f>CHOOSE(Inputs!$C$54,E48,F48,G48)</f>
        <v>0</v>
      </c>
      <c r="J48" s="15" t="s">
        <v>395</v>
      </c>
    </row>
    <row r="49" spans="2:20" x14ac:dyDescent="0.35">
      <c r="B49" s="40" t="s">
        <v>396</v>
      </c>
      <c r="E49" s="87">
        <v>5.0000000000000001E-3</v>
      </c>
      <c r="F49" s="87">
        <v>0</v>
      </c>
      <c r="G49" s="87">
        <v>-2E-3</v>
      </c>
      <c r="H49" s="88">
        <f>CHOOSE(Inputs!$C$54,E49,F49,G49)</f>
        <v>0</v>
      </c>
      <c r="J49" s="15" t="s">
        <v>397</v>
      </c>
    </row>
    <row r="50" spans="2:20" x14ac:dyDescent="0.35">
      <c r="B50" s="40" t="s">
        <v>398</v>
      </c>
      <c r="E50" s="87">
        <v>3.0000000000000001E-3</v>
      </c>
      <c r="F50" s="87">
        <v>0</v>
      </c>
      <c r="G50" s="87">
        <v>0</v>
      </c>
      <c r="H50" s="88">
        <f>CHOOSE(Inputs!$C$54,E50,F50,G50)</f>
        <v>0</v>
      </c>
      <c r="J50" s="15" t="s">
        <v>399</v>
      </c>
    </row>
    <row r="51" spans="2:20" x14ac:dyDescent="0.35">
      <c r="B51" s="40" t="s">
        <v>400</v>
      </c>
      <c r="E51" s="87">
        <v>-5.0000000000000001E-3</v>
      </c>
      <c r="F51" s="87">
        <v>0</v>
      </c>
      <c r="G51" s="87">
        <v>2.5000000000000001E-3</v>
      </c>
      <c r="H51" s="88">
        <f>CHOOSE(Inputs!$C$54,E51,F51,G51)</f>
        <v>0</v>
      </c>
      <c r="J51" s="15" t="s">
        <v>401</v>
      </c>
    </row>
    <row r="52" spans="2:20" x14ac:dyDescent="0.35">
      <c r="B52" s="40" t="s">
        <v>402</v>
      </c>
      <c r="E52" s="91">
        <v>-1</v>
      </c>
      <c r="F52" s="91">
        <v>0</v>
      </c>
      <c r="G52" s="91">
        <v>1</v>
      </c>
      <c r="H52" s="92">
        <f>CHOOSE(Inputs!$C$54,E52,F52,G52)</f>
        <v>0</v>
      </c>
      <c r="J52" s="15" t="s">
        <v>403</v>
      </c>
    </row>
    <row r="53" spans="2:20" x14ac:dyDescent="0.35">
      <c r="B53" s="40" t="s">
        <v>404</v>
      </c>
      <c r="E53" s="87">
        <v>0.25</v>
      </c>
      <c r="F53" s="87">
        <v>0.5</v>
      </c>
      <c r="G53" s="87">
        <v>0.25</v>
      </c>
      <c r="H53" s="93">
        <f>SUM(E53:G53)</f>
        <v>1</v>
      </c>
      <c r="J53" s="15" t="s">
        <v>405</v>
      </c>
    </row>
    <row r="56" spans="2:20" ht="14.5" customHeight="1" x14ac:dyDescent="0.35">
      <c r="B56" s="9" t="s">
        <v>406</v>
      </c>
      <c r="C56" s="9"/>
      <c r="D56" s="9"/>
      <c r="E56" s="9"/>
      <c r="F56" s="9"/>
      <c r="G56" s="9"/>
      <c r="H56" s="9"/>
      <c r="I56" s="9"/>
      <c r="J56" s="9"/>
      <c r="K56" s="9"/>
      <c r="L56" s="9"/>
      <c r="M56" s="9"/>
      <c r="N56" s="9"/>
      <c r="O56" s="9"/>
      <c r="P56" s="9"/>
      <c r="Q56" s="9"/>
      <c r="R56" s="9"/>
      <c r="S56" s="9"/>
      <c r="T56" s="9"/>
    </row>
    <row r="57" spans="2:20" ht="5" customHeight="1" x14ac:dyDescent="0.35"/>
    <row r="58" spans="2:20" x14ac:dyDescent="0.35">
      <c r="B58" s="40" t="str">
        <f>"Volume growth – "&amp;Inputs!$C$73&amp;" (segment mode)"</f>
        <v>Volume growth – Norway (segment mode)</v>
      </c>
      <c r="C58" s="59" t="s">
        <v>323</v>
      </c>
      <c r="L58" s="45">
        <f>L12+$H$44+N(Sensitivity!$D$5)</f>
        <v>2.5999999999999999E-2</v>
      </c>
      <c r="M58" s="45">
        <f>M12+$H$44+N(Sensitivity!$D$5)</f>
        <v>2.4E-2</v>
      </c>
      <c r="N58" s="45">
        <f>N12+$H$44+N(Sensitivity!$D$5)</f>
        <v>2.1999999999999999E-2</v>
      </c>
      <c r="O58" s="45">
        <f>O12+$H$44+N(Sensitivity!$D$5)</f>
        <v>0.02</v>
      </c>
      <c r="P58" s="45">
        <f>P12+$H$44+N(Sensitivity!$D$5)</f>
        <v>1.7999999999999999E-2</v>
      </c>
      <c r="Q58" s="45">
        <f>Q12+$H$44+N(Sensitivity!$D$5)</f>
        <v>1.6E-2</v>
      </c>
      <c r="R58" s="45">
        <f>R12+$H$44+N(Sensitivity!$D$5)</f>
        <v>1.4E-2</v>
      </c>
      <c r="S58" s="45">
        <f>S12+$H$44+N(Sensitivity!$D$5)</f>
        <v>1.2E-2</v>
      </c>
    </row>
    <row r="59" spans="2:20" x14ac:dyDescent="0.35">
      <c r="B59" s="40" t="str">
        <f>"Price/mix growth – "&amp;Inputs!$C$73&amp;""</f>
        <v>Price/mix growth – Norway</v>
      </c>
      <c r="C59" s="59" t="s">
        <v>323</v>
      </c>
      <c r="L59" s="45">
        <f t="shared" ref="L59:S59" si="3">L13+$H$45</f>
        <v>3.4000000000000002E-2</v>
      </c>
      <c r="M59" s="45">
        <f t="shared" si="3"/>
        <v>0.03</v>
      </c>
      <c r="N59" s="45">
        <f t="shared" si="3"/>
        <v>2.8000000000000001E-2</v>
      </c>
      <c r="O59" s="45">
        <f t="shared" si="3"/>
        <v>2.5999999999999999E-2</v>
      </c>
      <c r="P59" s="45">
        <f t="shared" si="3"/>
        <v>2.5000000000000001E-2</v>
      </c>
      <c r="Q59" s="45">
        <f t="shared" si="3"/>
        <v>2.4E-2</v>
      </c>
      <c r="R59" s="45">
        <f t="shared" si="3"/>
        <v>2.3E-2</v>
      </c>
      <c r="S59" s="45">
        <f t="shared" si="3"/>
        <v>2.1999999999999999E-2</v>
      </c>
    </row>
    <row r="60" spans="2:20" x14ac:dyDescent="0.35">
      <c r="B60" s="40" t="str">
        <f>"Volume growth – "&amp;Inputs!$C$74&amp;" (segment mode)"</f>
        <v>Volume growth – Sweden (segment mode)</v>
      </c>
      <c r="C60" s="59" t="s">
        <v>323</v>
      </c>
      <c r="L60" s="45">
        <f>L14+$H$44+N(Sensitivity!$D$5)</f>
        <v>0.03</v>
      </c>
      <c r="M60" s="45">
        <f>M14+$H$44+N(Sensitivity!$D$5)</f>
        <v>2.8000000000000001E-2</v>
      </c>
      <c r="N60" s="45">
        <f>N14+$H$44+N(Sensitivity!$D$5)</f>
        <v>2.5999999999999999E-2</v>
      </c>
      <c r="O60" s="45">
        <f>O14+$H$44+N(Sensitivity!$D$5)</f>
        <v>2.3E-2</v>
      </c>
      <c r="P60" s="45">
        <f>P14+$H$44+N(Sensitivity!$D$5)</f>
        <v>0.02</v>
      </c>
      <c r="Q60" s="45">
        <f>Q14+$H$44+N(Sensitivity!$D$5)</f>
        <v>1.7999999999999999E-2</v>
      </c>
      <c r="R60" s="45">
        <f>R14+$H$44+N(Sensitivity!$D$5)</f>
        <v>1.4999999999999999E-2</v>
      </c>
      <c r="S60" s="45">
        <f>S14+$H$44+N(Sensitivity!$D$5)</f>
        <v>1.2999999999999999E-2</v>
      </c>
    </row>
    <row r="61" spans="2:20" x14ac:dyDescent="0.35">
      <c r="B61" s="40" t="str">
        <f>"Price/mix growth – "&amp;Inputs!$C$74&amp;""</f>
        <v>Price/mix growth – Sweden</v>
      </c>
      <c r="C61" s="59" t="s">
        <v>323</v>
      </c>
      <c r="L61" s="45">
        <f t="shared" ref="L61:S61" si="4">L15+$H$45</f>
        <v>3.2000000000000001E-2</v>
      </c>
      <c r="M61" s="45">
        <f t="shared" si="4"/>
        <v>0.03</v>
      </c>
      <c r="N61" s="45">
        <f t="shared" si="4"/>
        <v>2.8000000000000001E-2</v>
      </c>
      <c r="O61" s="45">
        <f t="shared" si="4"/>
        <v>2.5999999999999999E-2</v>
      </c>
      <c r="P61" s="45">
        <f t="shared" si="4"/>
        <v>2.5000000000000001E-2</v>
      </c>
      <c r="Q61" s="45">
        <f t="shared" si="4"/>
        <v>2.4E-2</v>
      </c>
      <c r="R61" s="45">
        <f t="shared" si="4"/>
        <v>2.3E-2</v>
      </c>
      <c r="S61" s="45">
        <f t="shared" si="4"/>
        <v>2.1999999999999999E-2</v>
      </c>
    </row>
    <row r="62" spans="2:20" x14ac:dyDescent="0.35">
      <c r="B62" s="40" t="str">
        <f>"Volume growth – "&amp;Inputs!$C$75&amp;" (segment mode)"</f>
        <v>Volume growth – Denmark &amp; Finland (segment mode)</v>
      </c>
      <c r="C62" s="59" t="s">
        <v>323</v>
      </c>
      <c r="L62" s="45">
        <f>L16+$H$44+N(Sensitivity!$D$5)</f>
        <v>5.5E-2</v>
      </c>
      <c r="M62" s="45">
        <f>M16+$H$44+N(Sensitivity!$D$5)</f>
        <v>0.05</v>
      </c>
      <c r="N62" s="45">
        <f>N16+$H$44+N(Sensitivity!$D$5)</f>
        <v>4.4999999999999998E-2</v>
      </c>
      <c r="O62" s="45">
        <f>O16+$H$44+N(Sensitivity!$D$5)</f>
        <v>0.04</v>
      </c>
      <c r="P62" s="45">
        <f>P16+$H$44+N(Sensitivity!$D$5)</f>
        <v>3.5000000000000003E-2</v>
      </c>
      <c r="Q62" s="45">
        <f>Q16+$H$44+N(Sensitivity!$D$5)</f>
        <v>0.03</v>
      </c>
      <c r="R62" s="45">
        <f>R16+$H$44+N(Sensitivity!$D$5)</f>
        <v>2.5000000000000001E-2</v>
      </c>
      <c r="S62" s="45">
        <f>S16+$H$44+N(Sensitivity!$D$5)</f>
        <v>0.02</v>
      </c>
    </row>
    <row r="63" spans="2:20" x14ac:dyDescent="0.35">
      <c r="B63" s="40" t="str">
        <f>"Price/mix growth – "&amp;Inputs!$C$75&amp;""</f>
        <v>Price/mix growth – Denmark &amp; Finland</v>
      </c>
      <c r="C63" s="59" t="s">
        <v>323</v>
      </c>
      <c r="L63" s="45">
        <f t="shared" ref="L63:S63" si="5">L17+$H$45</f>
        <v>0.03</v>
      </c>
      <c r="M63" s="45">
        <f t="shared" si="5"/>
        <v>2.8000000000000001E-2</v>
      </c>
      <c r="N63" s="45">
        <f t="shared" si="5"/>
        <v>2.7E-2</v>
      </c>
      <c r="O63" s="45">
        <f t="shared" si="5"/>
        <v>2.5999999999999999E-2</v>
      </c>
      <c r="P63" s="45">
        <f t="shared" si="5"/>
        <v>2.5000000000000001E-2</v>
      </c>
      <c r="Q63" s="45">
        <f t="shared" si="5"/>
        <v>2.4E-2</v>
      </c>
      <c r="R63" s="45">
        <f t="shared" si="5"/>
        <v>2.3E-2</v>
      </c>
      <c r="S63" s="45">
        <f t="shared" si="5"/>
        <v>2.1999999999999999E-2</v>
      </c>
    </row>
    <row r="64" spans="2:20" x14ac:dyDescent="0.35">
      <c r="B64" s="40" t="str">
        <f>"Like-for-like growth per location – "&amp;Inputs!$C$73&amp;" (location mode)"</f>
        <v>Like-for-like growth per location – Norway (location mode)</v>
      </c>
      <c r="C64" s="59" t="s">
        <v>323</v>
      </c>
      <c r="L64" s="45">
        <f>L18+$H$44+N(Sensitivity!$D$5)</f>
        <v>8.0000000000000002E-3</v>
      </c>
      <c r="M64" s="45">
        <f>M18+$H$44+N(Sensitivity!$D$5)</f>
        <v>7.0000000000000001E-3</v>
      </c>
      <c r="N64" s="45">
        <f>N18+$H$44+N(Sensitivity!$D$5)</f>
        <v>6.0000000000000001E-3</v>
      </c>
      <c r="O64" s="45">
        <f>O18+$H$44+N(Sensitivity!$D$5)</f>
        <v>5.0000000000000001E-3</v>
      </c>
      <c r="P64" s="45">
        <f>P18+$H$44+N(Sensitivity!$D$5)</f>
        <v>4.0000000000000001E-3</v>
      </c>
      <c r="Q64" s="45">
        <f>Q18+$H$44+N(Sensitivity!$D$5)</f>
        <v>3.0000000000000001E-3</v>
      </c>
      <c r="R64" s="45">
        <f>R18+$H$44+N(Sensitivity!$D$5)</f>
        <v>3.0000000000000001E-3</v>
      </c>
      <c r="S64" s="45">
        <f>S18+$H$44+N(Sensitivity!$D$5)</f>
        <v>3.0000000000000001E-3</v>
      </c>
    </row>
    <row r="65" spans="2:19" x14ac:dyDescent="0.35">
      <c r="B65" s="40" t="str">
        <f>"Like-for-like growth per location – "&amp;Inputs!$C$74&amp;" (location mode)"</f>
        <v>Like-for-like growth per location – Sweden (location mode)</v>
      </c>
      <c r="C65" s="59" t="s">
        <v>323</v>
      </c>
      <c r="L65" s="45">
        <f>L19+$H$44+N(Sensitivity!$D$5)</f>
        <v>0.01</v>
      </c>
      <c r="M65" s="45">
        <f>M19+$H$44+N(Sensitivity!$D$5)</f>
        <v>8.9999999999999993E-3</v>
      </c>
      <c r="N65" s="45">
        <f>N19+$H$44+N(Sensitivity!$D$5)</f>
        <v>8.0000000000000002E-3</v>
      </c>
      <c r="O65" s="45">
        <f>O19+$H$44+N(Sensitivity!$D$5)</f>
        <v>7.0000000000000001E-3</v>
      </c>
      <c r="P65" s="45">
        <f>P19+$H$44+N(Sensitivity!$D$5)</f>
        <v>6.0000000000000001E-3</v>
      </c>
      <c r="Q65" s="45">
        <f>Q19+$H$44+N(Sensitivity!$D$5)</f>
        <v>5.0000000000000001E-3</v>
      </c>
      <c r="R65" s="45">
        <f>R19+$H$44+N(Sensitivity!$D$5)</f>
        <v>4.0000000000000001E-3</v>
      </c>
      <c r="S65" s="45">
        <f>S19+$H$44+N(Sensitivity!$D$5)</f>
        <v>3.0000000000000001E-3</v>
      </c>
    </row>
    <row r="66" spans="2:19" x14ac:dyDescent="0.35">
      <c r="B66" s="40" t="str">
        <f>"Like-for-like growth per location – "&amp;Inputs!$C$75&amp;" (location mode)"</f>
        <v>Like-for-like growth per location – Denmark &amp; Finland (location mode)</v>
      </c>
      <c r="C66" s="59" t="s">
        <v>323</v>
      </c>
      <c r="L66" s="45">
        <f>L20+$H$44+N(Sensitivity!$D$5)</f>
        <v>1.4999999999999999E-2</v>
      </c>
      <c r="M66" s="45">
        <f>M20+$H$44+N(Sensitivity!$D$5)</f>
        <v>1.4E-2</v>
      </c>
      <c r="N66" s="45">
        <f>N20+$H$44+N(Sensitivity!$D$5)</f>
        <v>1.2E-2</v>
      </c>
      <c r="O66" s="45">
        <f>O20+$H$44+N(Sensitivity!$D$5)</f>
        <v>0.01</v>
      </c>
      <c r="P66" s="45">
        <f>P20+$H$44+N(Sensitivity!$D$5)</f>
        <v>8.9999999999999993E-3</v>
      </c>
      <c r="Q66" s="45">
        <f>Q20+$H$44+N(Sensitivity!$D$5)</f>
        <v>8.0000000000000002E-3</v>
      </c>
      <c r="R66" s="45">
        <f>R20+$H$44+N(Sensitivity!$D$5)</f>
        <v>6.0000000000000001E-3</v>
      </c>
      <c r="S66" s="45">
        <f>S20+$H$44+N(Sensitivity!$D$5)</f>
        <v>5.0000000000000001E-3</v>
      </c>
    </row>
    <row r="67" spans="2:19" x14ac:dyDescent="0.35">
      <c r="B67" s="40" t="str">
        <f>"Net new locations – "&amp;Inputs!$C$73&amp;" (location mode)"</f>
        <v>Net new locations – Norway (location mode)</v>
      </c>
      <c r="C67" s="59" t="s">
        <v>315</v>
      </c>
      <c r="L67" s="49">
        <f t="shared" ref="L67:S69" si="6">L21+$H$46</f>
        <v>2</v>
      </c>
      <c r="M67" s="49">
        <f t="shared" si="6"/>
        <v>2</v>
      </c>
      <c r="N67" s="49">
        <f t="shared" si="6"/>
        <v>2</v>
      </c>
      <c r="O67" s="49">
        <f t="shared" si="6"/>
        <v>2</v>
      </c>
      <c r="P67" s="49">
        <f t="shared" si="6"/>
        <v>2</v>
      </c>
      <c r="Q67" s="49">
        <f t="shared" si="6"/>
        <v>1</v>
      </c>
      <c r="R67" s="49">
        <f t="shared" si="6"/>
        <v>1</v>
      </c>
      <c r="S67" s="49">
        <f t="shared" si="6"/>
        <v>1</v>
      </c>
    </row>
    <row r="68" spans="2:19" x14ac:dyDescent="0.35">
      <c r="B68" s="40" t="str">
        <f>"Net new locations – "&amp;Inputs!$C$74&amp;" (location mode)"</f>
        <v>Net new locations – Sweden (location mode)</v>
      </c>
      <c r="C68" s="59" t="s">
        <v>315</v>
      </c>
      <c r="L68" s="49">
        <f t="shared" si="6"/>
        <v>2</v>
      </c>
      <c r="M68" s="49">
        <f t="shared" si="6"/>
        <v>2</v>
      </c>
      <c r="N68" s="49">
        <f t="shared" si="6"/>
        <v>2</v>
      </c>
      <c r="O68" s="49">
        <f t="shared" si="6"/>
        <v>2</v>
      </c>
      <c r="P68" s="49">
        <f t="shared" si="6"/>
        <v>1</v>
      </c>
      <c r="Q68" s="49">
        <f t="shared" si="6"/>
        <v>1</v>
      </c>
      <c r="R68" s="49">
        <f t="shared" si="6"/>
        <v>1</v>
      </c>
      <c r="S68" s="49">
        <f t="shared" si="6"/>
        <v>1</v>
      </c>
    </row>
    <row r="69" spans="2:19" x14ac:dyDescent="0.35">
      <c r="B69" s="40" t="str">
        <f>"Net new locations – "&amp;Inputs!$C$75&amp;" (location mode)"</f>
        <v>Net new locations – Denmark &amp; Finland (location mode)</v>
      </c>
      <c r="C69" s="59" t="s">
        <v>315</v>
      </c>
      <c r="L69" s="49">
        <f t="shared" si="6"/>
        <v>3</v>
      </c>
      <c r="M69" s="49">
        <f t="shared" si="6"/>
        <v>3</v>
      </c>
      <c r="N69" s="49">
        <f t="shared" si="6"/>
        <v>3</v>
      </c>
      <c r="O69" s="49">
        <f t="shared" si="6"/>
        <v>2</v>
      </c>
      <c r="P69" s="49">
        <f t="shared" si="6"/>
        <v>2</v>
      </c>
      <c r="Q69" s="49">
        <f t="shared" si="6"/>
        <v>2</v>
      </c>
      <c r="R69" s="49">
        <f t="shared" si="6"/>
        <v>1</v>
      </c>
      <c r="S69" s="49">
        <f t="shared" si="6"/>
        <v>1</v>
      </c>
    </row>
    <row r="70" spans="2:19" x14ac:dyDescent="0.35">
      <c r="B70" s="40" t="s">
        <v>326</v>
      </c>
      <c r="C70" s="59" t="s">
        <v>323</v>
      </c>
      <c r="L70" s="45">
        <f t="shared" ref="L70:S70" si="7">L24+$H$47</f>
        <v>0.36599999999999999</v>
      </c>
      <c r="M70" s="45">
        <f t="shared" si="7"/>
        <v>0.36599999999999999</v>
      </c>
      <c r="N70" s="45">
        <f t="shared" si="7"/>
        <v>0.36599999999999999</v>
      </c>
      <c r="O70" s="45">
        <f t="shared" si="7"/>
        <v>0.36599999999999999</v>
      </c>
      <c r="P70" s="45">
        <f t="shared" si="7"/>
        <v>0.36599999999999999</v>
      </c>
      <c r="Q70" s="45">
        <f t="shared" si="7"/>
        <v>0.36599999999999999</v>
      </c>
      <c r="R70" s="45">
        <f t="shared" si="7"/>
        <v>0.36599999999999999</v>
      </c>
      <c r="S70" s="45">
        <f t="shared" si="7"/>
        <v>0.36599999999999999</v>
      </c>
    </row>
    <row r="71" spans="2:19" x14ac:dyDescent="0.35">
      <c r="B71" s="40" t="s">
        <v>362</v>
      </c>
      <c r="C71" s="59" t="s">
        <v>323</v>
      </c>
      <c r="L71" s="45">
        <f t="shared" ref="L71:S71" si="8">L25+$H$48</f>
        <v>8.72E-2</v>
      </c>
      <c r="M71" s="45">
        <f t="shared" si="8"/>
        <v>8.72E-2</v>
      </c>
      <c r="N71" s="45">
        <f t="shared" si="8"/>
        <v>8.72E-2</v>
      </c>
      <c r="O71" s="45">
        <f t="shared" si="8"/>
        <v>8.72E-2</v>
      </c>
      <c r="P71" s="45">
        <f t="shared" si="8"/>
        <v>8.72E-2</v>
      </c>
      <c r="Q71" s="45">
        <f t="shared" si="8"/>
        <v>8.72E-2</v>
      </c>
      <c r="R71" s="45">
        <f t="shared" si="8"/>
        <v>8.72E-2</v>
      </c>
      <c r="S71" s="45">
        <f t="shared" si="8"/>
        <v>8.72E-2</v>
      </c>
    </row>
    <row r="72" spans="2:19" x14ac:dyDescent="0.35">
      <c r="B72" s="40" t="s">
        <v>364</v>
      </c>
      <c r="C72" s="59" t="s">
        <v>323</v>
      </c>
      <c r="L72" s="45">
        <f>L26+$H$49-N(Sensitivity!$D$6)</f>
        <v>5.9499999999999997E-2</v>
      </c>
      <c r="M72" s="45">
        <f>M26+$H$49-N(Sensitivity!$D$6)</f>
        <v>5.9499999999999997E-2</v>
      </c>
      <c r="N72" s="45">
        <f>N26+$H$49-N(Sensitivity!$D$6)</f>
        <v>5.9499999999999997E-2</v>
      </c>
      <c r="O72" s="45">
        <f>O26+$H$49-N(Sensitivity!$D$6)</f>
        <v>5.9499999999999997E-2</v>
      </c>
      <c r="P72" s="45">
        <f>P26+$H$49-N(Sensitivity!$D$6)</f>
        <v>5.9499999999999997E-2</v>
      </c>
      <c r="Q72" s="45">
        <f>Q26+$H$49-N(Sensitivity!$D$6)</f>
        <v>5.9499999999999997E-2</v>
      </c>
      <c r="R72" s="45">
        <f>R26+$H$49-N(Sensitivity!$D$6)</f>
        <v>5.9499999999999997E-2</v>
      </c>
      <c r="S72" s="45">
        <f>S26+$H$49-N(Sensitivity!$D$6)</f>
        <v>5.9499999999999997E-2</v>
      </c>
    </row>
    <row r="73" spans="2:19" x14ac:dyDescent="0.35">
      <c r="B73" s="40" t="s">
        <v>366</v>
      </c>
      <c r="C73" s="59" t="s">
        <v>323</v>
      </c>
      <c r="L73" s="45">
        <f t="shared" ref="L73:S73" si="9">L27</f>
        <v>0.03</v>
      </c>
      <c r="M73" s="45">
        <f t="shared" si="9"/>
        <v>2.7E-2</v>
      </c>
      <c r="N73" s="45">
        <f t="shared" si="9"/>
        <v>2.5000000000000001E-2</v>
      </c>
      <c r="O73" s="45">
        <f t="shared" si="9"/>
        <v>2.5000000000000001E-2</v>
      </c>
      <c r="P73" s="45">
        <f t="shared" si="9"/>
        <v>2.5000000000000001E-2</v>
      </c>
      <c r="Q73" s="45">
        <f t="shared" si="9"/>
        <v>2.5000000000000001E-2</v>
      </c>
      <c r="R73" s="45">
        <f t="shared" si="9"/>
        <v>2.5000000000000001E-2</v>
      </c>
      <c r="S73" s="45">
        <f t="shared" si="9"/>
        <v>2.5000000000000001E-2</v>
      </c>
    </row>
    <row r="74" spans="2:19" x14ac:dyDescent="0.35">
      <c r="B74" s="40" t="s">
        <v>407</v>
      </c>
      <c r="C74" s="59" t="s">
        <v>323</v>
      </c>
      <c r="L74" s="45">
        <f>IF(Inputs!$C$72=2,(1-$H$102)*Model!L55,L28)</f>
        <v>2.2780373831775724E-2</v>
      </c>
      <c r="M74" s="45">
        <f>IF(Inputs!$C$72=2,(1-$H$102)*Model!M55,M28)</f>
        <v>2.3809523809523891E-2</v>
      </c>
      <c r="N74" s="45">
        <f>IF(Inputs!$C$72=2,(1-$H$102)*Model!N55,N28)</f>
        <v>2.3076923076922995E-2</v>
      </c>
      <c r="O74" s="45">
        <f>IF(Inputs!$C$72=2,(1-$H$102)*Model!O55,O28)</f>
        <v>2.0788912579957297E-2</v>
      </c>
      <c r="P74" s="45">
        <f>IF(Inputs!$C$72=2,(1-$H$102)*Model!P55,P28)</f>
        <v>1.7116182572614047E-2</v>
      </c>
      <c r="Q74" s="45">
        <f>IF(Inputs!$C$72=2,(1-$H$102)*Model!Q55,Q28)</f>
        <v>1.3691683569979685E-2</v>
      </c>
      <c r="R74" s="45">
        <f>IF(Inputs!$C$72=2,(1-$H$102)*Model!R55,R28)</f>
        <v>1.0458167330677282E-2</v>
      </c>
      <c r="S74" s="45">
        <f>IF(Inputs!$C$72=2,(1-$H$102)*Model!S55,S28)</f>
        <v>8.840864440078644E-3</v>
      </c>
    </row>
    <row r="75" spans="2:19" x14ac:dyDescent="0.35">
      <c r="B75" s="40" t="s">
        <v>370</v>
      </c>
      <c r="C75" s="59" t="s">
        <v>323</v>
      </c>
      <c r="L75" s="45">
        <f t="shared" ref="L75:S76" si="10">L29</f>
        <v>7.8E-2</v>
      </c>
      <c r="M75" s="45">
        <f t="shared" si="10"/>
        <v>7.8E-2</v>
      </c>
      <c r="N75" s="45">
        <f t="shared" si="10"/>
        <v>7.6999999999999999E-2</v>
      </c>
      <c r="O75" s="45">
        <f t="shared" si="10"/>
        <v>7.6999999999999999E-2</v>
      </c>
      <c r="P75" s="45">
        <f t="shared" si="10"/>
        <v>7.6999999999999999E-2</v>
      </c>
      <c r="Q75" s="45">
        <f t="shared" si="10"/>
        <v>7.6999999999999999E-2</v>
      </c>
      <c r="R75" s="45">
        <f t="shared" si="10"/>
        <v>7.6999999999999999E-2</v>
      </c>
      <c r="S75" s="45">
        <f t="shared" si="10"/>
        <v>7.6999999999999999E-2</v>
      </c>
    </row>
    <row r="76" spans="2:19" x14ac:dyDescent="0.35">
      <c r="B76" s="40" t="s">
        <v>332</v>
      </c>
      <c r="C76" s="59" t="s">
        <v>323</v>
      </c>
      <c r="L76" s="45">
        <f t="shared" si="10"/>
        <v>4.3999999999999997E-2</v>
      </c>
      <c r="M76" s="45">
        <f t="shared" si="10"/>
        <v>4.3999999999999997E-2</v>
      </c>
      <c r="N76" s="45">
        <f t="shared" si="10"/>
        <v>4.3999999999999997E-2</v>
      </c>
      <c r="O76" s="45">
        <f t="shared" si="10"/>
        <v>4.3999999999999997E-2</v>
      </c>
      <c r="P76" s="45">
        <f t="shared" si="10"/>
        <v>4.3999999999999997E-2</v>
      </c>
      <c r="Q76" s="45">
        <f t="shared" si="10"/>
        <v>4.3999999999999997E-2</v>
      </c>
      <c r="R76" s="45">
        <f t="shared" si="10"/>
        <v>4.3999999999999997E-2</v>
      </c>
      <c r="S76" s="45">
        <f t="shared" si="10"/>
        <v>4.3999999999999997E-2</v>
      </c>
    </row>
    <row r="77" spans="2:19" x14ac:dyDescent="0.35">
      <c r="B77" s="40" t="s">
        <v>372</v>
      </c>
      <c r="C77" s="59" t="s">
        <v>323</v>
      </c>
      <c r="L77" s="45">
        <f t="shared" ref="L77:S77" si="11">L31+$H$50</f>
        <v>0.05</v>
      </c>
      <c r="M77" s="45">
        <f t="shared" si="11"/>
        <v>0.05</v>
      </c>
      <c r="N77" s="45">
        <f t="shared" si="11"/>
        <v>0.05</v>
      </c>
      <c r="O77" s="45">
        <f t="shared" si="11"/>
        <v>0.05</v>
      </c>
      <c r="P77" s="45">
        <f t="shared" si="11"/>
        <v>0.05</v>
      </c>
      <c r="Q77" s="45">
        <f t="shared" si="11"/>
        <v>0.05</v>
      </c>
      <c r="R77" s="45">
        <f t="shared" si="11"/>
        <v>0.05</v>
      </c>
      <c r="S77" s="45">
        <f t="shared" si="11"/>
        <v>0.05</v>
      </c>
    </row>
    <row r="78" spans="2:19" x14ac:dyDescent="0.35">
      <c r="B78" s="40" t="s">
        <v>374</v>
      </c>
      <c r="C78" s="59" t="s">
        <v>336</v>
      </c>
      <c r="L78" s="94">
        <f t="shared" ref="L78:S86" si="12">L32</f>
        <v>2</v>
      </c>
      <c r="M78" s="94">
        <f t="shared" si="12"/>
        <v>2</v>
      </c>
      <c r="N78" s="94">
        <f t="shared" si="12"/>
        <v>2</v>
      </c>
      <c r="O78" s="94">
        <f t="shared" si="12"/>
        <v>2</v>
      </c>
      <c r="P78" s="94">
        <f t="shared" si="12"/>
        <v>2</v>
      </c>
      <c r="Q78" s="94">
        <f t="shared" si="12"/>
        <v>2</v>
      </c>
      <c r="R78" s="94">
        <f t="shared" si="12"/>
        <v>2</v>
      </c>
      <c r="S78" s="94">
        <f t="shared" si="12"/>
        <v>2</v>
      </c>
    </row>
    <row r="79" spans="2:19" x14ac:dyDescent="0.35">
      <c r="B79" s="40" t="s">
        <v>376</v>
      </c>
      <c r="C79" s="59" t="s">
        <v>167</v>
      </c>
      <c r="L79" s="48">
        <f t="shared" si="12"/>
        <v>22</v>
      </c>
      <c r="M79" s="48">
        <f t="shared" si="12"/>
        <v>22.6</v>
      </c>
      <c r="N79" s="48">
        <f t="shared" si="12"/>
        <v>23.1</v>
      </c>
      <c r="O79" s="48">
        <f t="shared" si="12"/>
        <v>23.7</v>
      </c>
      <c r="P79" s="48">
        <f t="shared" si="12"/>
        <v>24.3</v>
      </c>
      <c r="Q79" s="48">
        <f t="shared" si="12"/>
        <v>24.9</v>
      </c>
      <c r="R79" s="48">
        <f t="shared" si="12"/>
        <v>25.5</v>
      </c>
      <c r="S79" s="48">
        <f t="shared" si="12"/>
        <v>26.1</v>
      </c>
    </row>
    <row r="80" spans="2:19" x14ac:dyDescent="0.35">
      <c r="B80" s="40" t="s">
        <v>341</v>
      </c>
      <c r="C80" s="59" t="s">
        <v>323</v>
      </c>
      <c r="L80" s="45">
        <f t="shared" si="12"/>
        <v>-6.5000000000000002E-2</v>
      </c>
      <c r="M80" s="45">
        <f t="shared" si="12"/>
        <v>-6.5000000000000002E-2</v>
      </c>
      <c r="N80" s="45">
        <f t="shared" si="12"/>
        <v>-6.5000000000000002E-2</v>
      </c>
      <c r="O80" s="45">
        <f t="shared" si="12"/>
        <v>-6.5000000000000002E-2</v>
      </c>
      <c r="P80" s="45">
        <f t="shared" si="12"/>
        <v>-6.5000000000000002E-2</v>
      </c>
      <c r="Q80" s="45">
        <f t="shared" si="12"/>
        <v>-6.5000000000000002E-2</v>
      </c>
      <c r="R80" s="45">
        <f t="shared" si="12"/>
        <v>-6.5000000000000002E-2</v>
      </c>
      <c r="S80" s="45">
        <f t="shared" si="12"/>
        <v>-6.5000000000000002E-2</v>
      </c>
    </row>
    <row r="81" spans="2:20" x14ac:dyDescent="0.35">
      <c r="B81" s="40" t="s">
        <v>378</v>
      </c>
      <c r="C81" s="59" t="s">
        <v>323</v>
      </c>
      <c r="L81" s="45">
        <f t="shared" si="12"/>
        <v>0.22</v>
      </c>
      <c r="M81" s="45">
        <f t="shared" si="12"/>
        <v>0.22</v>
      </c>
      <c r="N81" s="45">
        <f t="shared" si="12"/>
        <v>0.22</v>
      </c>
      <c r="O81" s="45">
        <f t="shared" si="12"/>
        <v>0.22</v>
      </c>
      <c r="P81" s="45">
        <f t="shared" si="12"/>
        <v>0.22</v>
      </c>
      <c r="Q81" s="45">
        <f t="shared" si="12"/>
        <v>0.22</v>
      </c>
      <c r="R81" s="45">
        <f t="shared" si="12"/>
        <v>0.22</v>
      </c>
      <c r="S81" s="45">
        <f t="shared" si="12"/>
        <v>0.22</v>
      </c>
    </row>
    <row r="82" spans="2:20" x14ac:dyDescent="0.35">
      <c r="B82" s="40" t="s">
        <v>379</v>
      </c>
      <c r="C82" s="59" t="s">
        <v>323</v>
      </c>
      <c r="L82" s="45">
        <f t="shared" si="12"/>
        <v>0.65</v>
      </c>
      <c r="M82" s="45">
        <f t="shared" si="12"/>
        <v>0.7</v>
      </c>
      <c r="N82" s="45">
        <f t="shared" si="12"/>
        <v>0.75</v>
      </c>
      <c r="O82" s="45">
        <f t="shared" si="12"/>
        <v>0.8</v>
      </c>
      <c r="P82" s="45">
        <f t="shared" si="12"/>
        <v>0.85</v>
      </c>
      <c r="Q82" s="45">
        <f t="shared" si="12"/>
        <v>0.9</v>
      </c>
      <c r="R82" s="45">
        <f t="shared" si="12"/>
        <v>0.9</v>
      </c>
      <c r="S82" s="45">
        <f t="shared" si="12"/>
        <v>0.9</v>
      </c>
    </row>
    <row r="83" spans="2:20" x14ac:dyDescent="0.35">
      <c r="B83" s="40" t="s">
        <v>380</v>
      </c>
      <c r="C83" s="59" t="s">
        <v>323</v>
      </c>
      <c r="L83" s="45">
        <f t="shared" si="12"/>
        <v>5.5E-2</v>
      </c>
      <c r="M83" s="45">
        <f t="shared" si="12"/>
        <v>5.1999999999999998E-2</v>
      </c>
      <c r="N83" s="45">
        <f t="shared" si="12"/>
        <v>0.05</v>
      </c>
      <c r="O83" s="45">
        <f t="shared" si="12"/>
        <v>0.05</v>
      </c>
      <c r="P83" s="45">
        <f t="shared" si="12"/>
        <v>0.05</v>
      </c>
      <c r="Q83" s="45">
        <f t="shared" si="12"/>
        <v>0.05</v>
      </c>
      <c r="R83" s="45">
        <f t="shared" si="12"/>
        <v>0.05</v>
      </c>
      <c r="S83" s="45">
        <f t="shared" si="12"/>
        <v>0.05</v>
      </c>
    </row>
    <row r="84" spans="2:20" x14ac:dyDescent="0.35">
      <c r="B84" s="40" t="s">
        <v>381</v>
      </c>
      <c r="C84" s="59" t="s">
        <v>323</v>
      </c>
      <c r="L84" s="45">
        <f t="shared" si="12"/>
        <v>1.4999999999999999E-2</v>
      </c>
      <c r="M84" s="45">
        <f t="shared" si="12"/>
        <v>1.4999999999999999E-2</v>
      </c>
      <c r="N84" s="45">
        <f t="shared" si="12"/>
        <v>1.4999999999999999E-2</v>
      </c>
      <c r="O84" s="45">
        <f t="shared" si="12"/>
        <v>1.4999999999999999E-2</v>
      </c>
      <c r="P84" s="45">
        <f t="shared" si="12"/>
        <v>1.4999999999999999E-2</v>
      </c>
      <c r="Q84" s="45">
        <f t="shared" si="12"/>
        <v>1.4999999999999999E-2</v>
      </c>
      <c r="R84" s="45">
        <f t="shared" si="12"/>
        <v>1.4999999999999999E-2</v>
      </c>
      <c r="S84" s="45">
        <f t="shared" si="12"/>
        <v>1.4999999999999999E-2</v>
      </c>
    </row>
    <row r="85" spans="2:20" x14ac:dyDescent="0.35">
      <c r="B85" s="40" t="s">
        <v>350</v>
      </c>
      <c r="C85" s="59" t="s">
        <v>323</v>
      </c>
      <c r="L85" s="45">
        <f t="shared" si="12"/>
        <v>0.2</v>
      </c>
      <c r="M85" s="45">
        <f t="shared" si="12"/>
        <v>0.2</v>
      </c>
      <c r="N85" s="45">
        <f t="shared" si="12"/>
        <v>0.2</v>
      </c>
      <c r="O85" s="45">
        <f t="shared" si="12"/>
        <v>0.2</v>
      </c>
      <c r="P85" s="45">
        <f t="shared" si="12"/>
        <v>0.2</v>
      </c>
      <c r="Q85" s="45">
        <f t="shared" si="12"/>
        <v>0.2</v>
      </c>
      <c r="R85" s="45">
        <f t="shared" si="12"/>
        <v>0.2</v>
      </c>
      <c r="S85" s="45">
        <f t="shared" si="12"/>
        <v>0.2</v>
      </c>
    </row>
    <row r="86" spans="2:20" x14ac:dyDescent="0.35">
      <c r="B86" s="40" t="s">
        <v>351</v>
      </c>
      <c r="C86" s="59" t="s">
        <v>323</v>
      </c>
      <c r="L86" s="45">
        <f t="shared" si="12"/>
        <v>0.01</v>
      </c>
      <c r="M86" s="45">
        <f t="shared" si="12"/>
        <v>0.01</v>
      </c>
      <c r="N86" s="45">
        <f t="shared" si="12"/>
        <v>0.01</v>
      </c>
      <c r="O86" s="45">
        <f t="shared" si="12"/>
        <v>0.01</v>
      </c>
      <c r="P86" s="45">
        <f t="shared" si="12"/>
        <v>0.01</v>
      </c>
      <c r="Q86" s="45">
        <f t="shared" si="12"/>
        <v>0.01</v>
      </c>
      <c r="R86" s="45">
        <f t="shared" si="12"/>
        <v>0.01</v>
      </c>
      <c r="S86" s="45">
        <f t="shared" si="12"/>
        <v>0.01</v>
      </c>
    </row>
    <row r="89" spans="2:20" x14ac:dyDescent="0.35">
      <c r="B89" s="31" t="s">
        <v>408</v>
      </c>
      <c r="C89" s="31"/>
      <c r="D89" s="31"/>
      <c r="E89" s="31"/>
      <c r="F89" s="31"/>
      <c r="G89" s="31"/>
      <c r="H89" s="31"/>
      <c r="I89" s="31"/>
      <c r="J89" s="31"/>
      <c r="K89" s="31"/>
      <c r="L89" s="31"/>
      <c r="M89" s="31"/>
      <c r="N89" s="31"/>
      <c r="O89" s="31"/>
      <c r="P89" s="31"/>
      <c r="Q89" s="31"/>
      <c r="R89" s="31"/>
      <c r="S89" s="31"/>
      <c r="T89" s="31"/>
    </row>
    <row r="90" spans="2:20" x14ac:dyDescent="0.35">
      <c r="B90" s="18" t="s">
        <v>409</v>
      </c>
      <c r="C90" s="85"/>
      <c r="D90" s="85"/>
      <c r="E90" s="86" t="s">
        <v>410</v>
      </c>
      <c r="F90" s="85"/>
      <c r="G90" s="85"/>
      <c r="H90" s="86" t="s">
        <v>384</v>
      </c>
      <c r="I90" s="85"/>
      <c r="J90" s="18" t="s">
        <v>385</v>
      </c>
      <c r="K90" s="85"/>
      <c r="L90" s="85"/>
      <c r="M90" s="85"/>
      <c r="N90" s="85"/>
      <c r="O90" s="85"/>
      <c r="P90" s="85"/>
      <c r="Q90" s="85"/>
      <c r="R90" s="85"/>
      <c r="S90" s="85"/>
      <c r="T90" s="85"/>
    </row>
    <row r="91" spans="2:20" x14ac:dyDescent="0.35">
      <c r="B91" s="40" t="s">
        <v>411</v>
      </c>
      <c r="E91" s="87">
        <v>0.02</v>
      </c>
      <c r="H91" s="88">
        <f>E91+$H$51</f>
        <v>0.02</v>
      </c>
      <c r="J91" s="15" t="s">
        <v>412</v>
      </c>
    </row>
    <row r="92" spans="2:20" x14ac:dyDescent="0.35">
      <c r="B92" s="40" t="s">
        <v>413</v>
      </c>
      <c r="E92" s="87"/>
      <c r="H92" s="88">
        <f>IF(E92="",Model!$S$86,E92)</f>
        <v>0.19059584681200054</v>
      </c>
      <c r="J92" s="15" t="s">
        <v>414</v>
      </c>
    </row>
    <row r="93" spans="2:20" x14ac:dyDescent="0.35">
      <c r="B93" s="40" t="s">
        <v>415</v>
      </c>
      <c r="E93" s="87">
        <v>0.12</v>
      </c>
      <c r="H93" s="88">
        <f>E93</f>
        <v>0.12</v>
      </c>
      <c r="J93" s="15" t="s">
        <v>416</v>
      </c>
    </row>
    <row r="94" spans="2:20" x14ac:dyDescent="0.35">
      <c r="B94" s="40" t="s">
        <v>417</v>
      </c>
      <c r="E94" s="87">
        <v>0.22</v>
      </c>
      <c r="H94" s="88">
        <f>E94</f>
        <v>0.22</v>
      </c>
      <c r="J94" s="15"/>
    </row>
    <row r="95" spans="2:20" x14ac:dyDescent="0.35">
      <c r="B95" s="40" t="s">
        <v>418</v>
      </c>
      <c r="E95" s="91">
        <v>8.5</v>
      </c>
      <c r="H95" s="92">
        <f>E95+$H$52</f>
        <v>8.5</v>
      </c>
      <c r="J95" s="15" t="s">
        <v>419</v>
      </c>
    </row>
    <row r="98" spans="2:20" x14ac:dyDescent="0.35">
      <c r="B98" s="31" t="s">
        <v>420</v>
      </c>
      <c r="C98" s="31"/>
      <c r="D98" s="31"/>
      <c r="E98" s="31"/>
      <c r="F98" s="31"/>
      <c r="G98" s="31"/>
      <c r="H98" s="31"/>
      <c r="I98" s="31"/>
      <c r="J98" s="31"/>
      <c r="K98" s="31"/>
      <c r="L98" s="31"/>
      <c r="M98" s="31"/>
      <c r="N98" s="31"/>
      <c r="O98" s="31"/>
      <c r="P98" s="31"/>
      <c r="Q98" s="31"/>
      <c r="R98" s="31"/>
      <c r="S98" s="31"/>
      <c r="T98" s="31"/>
    </row>
    <row r="99" spans="2:20" x14ac:dyDescent="0.35">
      <c r="B99" s="18" t="s">
        <v>409</v>
      </c>
      <c r="C99" s="85"/>
      <c r="D99" s="85"/>
      <c r="E99" s="86" t="s">
        <v>410</v>
      </c>
      <c r="F99" s="85"/>
      <c r="G99" s="85"/>
      <c r="H99" s="86" t="s">
        <v>384</v>
      </c>
      <c r="I99" s="85"/>
      <c r="J99" s="18" t="s">
        <v>385</v>
      </c>
      <c r="K99" s="85"/>
      <c r="L99" s="85"/>
      <c r="M99" s="85"/>
      <c r="N99" s="85"/>
      <c r="O99" s="85"/>
      <c r="P99" s="85"/>
      <c r="Q99" s="85"/>
      <c r="R99" s="85"/>
      <c r="S99" s="85"/>
      <c r="T99" s="85"/>
    </row>
    <row r="100" spans="2:20" x14ac:dyDescent="0.35">
      <c r="B100" s="40" t="s">
        <v>421</v>
      </c>
      <c r="E100" s="87">
        <v>0.6</v>
      </c>
      <c r="H100" s="88">
        <f t="shared" ref="H100:H105" si="13">E100</f>
        <v>0.6</v>
      </c>
      <c r="J100" s="15" t="s">
        <v>422</v>
      </c>
    </row>
    <row r="101" spans="2:20" x14ac:dyDescent="0.35">
      <c r="B101" s="40" t="s">
        <v>423</v>
      </c>
      <c r="E101" s="87">
        <v>0.5</v>
      </c>
      <c r="H101" s="88">
        <f t="shared" si="13"/>
        <v>0.5</v>
      </c>
      <c r="J101" s="15" t="s">
        <v>424</v>
      </c>
    </row>
    <row r="102" spans="2:20" x14ac:dyDescent="0.35">
      <c r="B102" s="40" t="s">
        <v>425</v>
      </c>
      <c r="E102" s="87">
        <v>0.25</v>
      </c>
      <c r="H102" s="88">
        <f t="shared" si="13"/>
        <v>0.25</v>
      </c>
      <c r="J102" s="15" t="s">
        <v>426</v>
      </c>
    </row>
    <row r="103" spans="2:20" x14ac:dyDescent="0.35">
      <c r="B103" s="40" t="s">
        <v>427</v>
      </c>
      <c r="E103" s="95">
        <v>0.75</v>
      </c>
      <c r="H103" s="96">
        <f t="shared" si="13"/>
        <v>0.75</v>
      </c>
      <c r="J103" s="15" t="s">
        <v>428</v>
      </c>
    </row>
    <row r="104" spans="2:20" x14ac:dyDescent="0.35">
      <c r="B104" s="40" t="s">
        <v>429</v>
      </c>
      <c r="E104" s="97">
        <v>1</v>
      </c>
      <c r="H104" s="98">
        <f t="shared" si="13"/>
        <v>1</v>
      </c>
      <c r="J104" s="15" t="s">
        <v>430</v>
      </c>
    </row>
    <row r="105" spans="2:20" x14ac:dyDescent="0.35">
      <c r="B105" s="40" t="s">
        <v>431</v>
      </c>
      <c r="E105" s="87">
        <v>0.08</v>
      </c>
      <c r="H105" s="88">
        <f t="shared" si="13"/>
        <v>0.08</v>
      </c>
      <c r="J105" s="15" t="s">
        <v>432</v>
      </c>
    </row>
    <row r="108" spans="2:20" x14ac:dyDescent="0.35">
      <c r="B108" s="31" t="s">
        <v>433</v>
      </c>
      <c r="C108" s="31"/>
      <c r="D108" s="31"/>
      <c r="E108" s="31"/>
      <c r="F108" s="31"/>
      <c r="G108" s="31"/>
      <c r="H108" s="31"/>
      <c r="I108" s="31"/>
      <c r="J108" s="31"/>
      <c r="K108" s="31"/>
      <c r="L108" s="31"/>
      <c r="M108" s="31"/>
      <c r="N108" s="31"/>
      <c r="O108" s="31"/>
      <c r="P108" s="31"/>
      <c r="Q108" s="31"/>
      <c r="R108" s="31"/>
      <c r="S108" s="31"/>
      <c r="T108" s="31"/>
    </row>
    <row r="109" spans="2:20" x14ac:dyDescent="0.35">
      <c r="B109" s="18" t="s">
        <v>409</v>
      </c>
      <c r="C109" s="85"/>
      <c r="D109" s="85"/>
      <c r="E109" s="86" t="s">
        <v>410</v>
      </c>
      <c r="F109" s="85"/>
      <c r="G109" s="85"/>
      <c r="H109" s="86" t="s">
        <v>384</v>
      </c>
      <c r="I109" s="85"/>
      <c r="J109" s="18" t="s">
        <v>385</v>
      </c>
      <c r="K109" s="85"/>
      <c r="L109" s="85"/>
      <c r="M109" s="85"/>
      <c r="N109" s="85"/>
      <c r="O109" s="85"/>
      <c r="P109" s="85"/>
      <c r="Q109" s="85"/>
      <c r="R109" s="85"/>
      <c r="S109" s="85"/>
      <c r="T109" s="85"/>
    </row>
    <row r="110" spans="2:20" x14ac:dyDescent="0.35">
      <c r="B110" s="40" t="s">
        <v>434</v>
      </c>
      <c r="E110" s="87">
        <v>0.35</v>
      </c>
      <c r="H110" s="88">
        <f>E110</f>
        <v>0.35</v>
      </c>
      <c r="J110" s="15" t="s">
        <v>435</v>
      </c>
    </row>
    <row r="111" spans="2:20" x14ac:dyDescent="0.35">
      <c r="B111" s="40" t="s">
        <v>436</v>
      </c>
      <c r="E111" s="87">
        <v>0.75</v>
      </c>
      <c r="H111" s="88">
        <f>E111</f>
        <v>0.75</v>
      </c>
      <c r="J111" s="15" t="s">
        <v>437</v>
      </c>
    </row>
    <row r="112" spans="2:20" x14ac:dyDescent="0.35">
      <c r="B112" s="40" t="s">
        <v>438</v>
      </c>
      <c r="E112" s="87">
        <v>0.95</v>
      </c>
      <c r="H112" s="88">
        <f>E112</f>
        <v>0.95</v>
      </c>
      <c r="J112" s="15" t="s">
        <v>439</v>
      </c>
    </row>
  </sheetData>
  <mergeCells count="2">
    <mergeCell ref="E4:K4"/>
    <mergeCell ref="L4:S4"/>
  </mergeCells>
  <conditionalFormatting sqref="B12:T12">
    <cfRule type="expression" dxfId="34" priority="1">
      <formula>RevenueMode=2</formula>
    </cfRule>
  </conditionalFormatting>
  <conditionalFormatting sqref="B14:T14">
    <cfRule type="expression" dxfId="33" priority="3">
      <formula>RevenueMode=2</formula>
    </cfRule>
  </conditionalFormatting>
  <conditionalFormatting sqref="B16:T16">
    <cfRule type="expression" dxfId="32" priority="5">
      <formula>RevenueMode=2</formula>
    </cfRule>
  </conditionalFormatting>
  <conditionalFormatting sqref="B18:T23">
    <cfRule type="expression" dxfId="31" priority="12">
      <formula>RevenueMode=1</formula>
    </cfRule>
  </conditionalFormatting>
  <conditionalFormatting sqref="B28:T29">
    <cfRule type="expression" dxfId="30" priority="7">
      <formula>RevenueMode=2</formula>
    </cfRule>
  </conditionalFormatting>
  <conditionalFormatting sqref="B32:T32">
    <cfRule type="expression" dxfId="29" priority="10">
      <formula>RevenueMode=2</formula>
    </cfRule>
  </conditionalFormatting>
  <conditionalFormatting sqref="B33:T33">
    <cfRule type="expression" dxfId="28" priority="24">
      <formula>RevenueMode=1</formula>
    </cfRule>
  </conditionalFormatting>
  <conditionalFormatting sqref="B58:T58">
    <cfRule type="expression" dxfId="27" priority="2">
      <formula>RevenueMode=2</formula>
    </cfRule>
  </conditionalFormatting>
  <conditionalFormatting sqref="B60:T60">
    <cfRule type="expression" dxfId="26" priority="4">
      <formula>RevenueMode=2</formula>
    </cfRule>
  </conditionalFormatting>
  <conditionalFormatting sqref="B62:T62">
    <cfRule type="expression" dxfId="25" priority="6">
      <formula>RevenueMode=2</formula>
    </cfRule>
  </conditionalFormatting>
  <conditionalFormatting sqref="B64:T69">
    <cfRule type="expression" dxfId="24" priority="13">
      <formula>RevenueMode=1</formula>
    </cfRule>
  </conditionalFormatting>
  <conditionalFormatting sqref="B75:T75">
    <cfRule type="expression" dxfId="23" priority="9">
      <formula>RevenueMode=2</formula>
    </cfRule>
  </conditionalFormatting>
  <conditionalFormatting sqref="B78:T78">
    <cfRule type="expression" dxfId="22" priority="11">
      <formula>RevenueMode=2</formula>
    </cfRule>
  </conditionalFormatting>
  <conditionalFormatting sqref="B79:T79">
    <cfRule type="expression" dxfId="21" priority="25">
      <formula>RevenueMode=1</formula>
    </cfRule>
  </conditionalFormatting>
  <printOptions horizontalCentered="1"/>
  <pageMargins left="0.4" right="0.4" top="1" bottom="1"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pageSetUpPr fitToPage="1"/>
  </sheetPr>
  <dimension ref="B2:N20"/>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Example Company ASA</v>
      </c>
    </row>
    <row r="9" spans="2:14" ht="22" customHeight="1" x14ac:dyDescent="0.4">
      <c r="D9" s="34" t="s">
        <v>146</v>
      </c>
    </row>
    <row r="12" spans="2:14" ht="30" customHeight="1" x14ac:dyDescent="0.6">
      <c r="D12" s="3" t="s">
        <v>440</v>
      </c>
    </row>
    <row r="14" spans="2:14" x14ac:dyDescent="0.35">
      <c r="D14" s="4" t="s">
        <v>25</v>
      </c>
    </row>
    <row r="17" spans="4:6" ht="16" customHeight="1" x14ac:dyDescent="0.35">
      <c r="D17" s="35" t="s">
        <v>28</v>
      </c>
      <c r="E17" s="36" t="s">
        <v>29</v>
      </c>
      <c r="F17" s="37" t="s">
        <v>30</v>
      </c>
    </row>
    <row r="20" spans="4:6" x14ac:dyDescent="0.35">
      <c r="D20" s="38" t="s">
        <v>147</v>
      </c>
    </row>
  </sheetData>
  <hyperlinks>
    <hyperlink ref="D17" location="'Model'!A1" display="Model" xr:uid="{00000000-0004-0000-0600-000000000000}"/>
    <hyperlink ref="D20" location="'Cover'!A1" display="← Back to cover" xr:uid="{00000000-0004-0000-0600-000001000000}"/>
  </hyperlinks>
  <printOptions horizontalCentered="1"/>
  <pageMargins left="0.4" right="0.4" top="1" bottom="1"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pageSetUpPr fitToPage="1"/>
  </sheetPr>
  <dimension ref="B1:V145"/>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20" width="9.453125" customWidth="1"/>
    <col min="21" max="21" width="1.453125" customWidth="1"/>
    <col min="22" max="22" width="58" customWidth="1"/>
  </cols>
  <sheetData>
    <row r="1" spans="2:22" ht="24" customHeight="1" x14ac:dyDescent="0.4">
      <c r="B1" s="30" t="s">
        <v>441</v>
      </c>
      <c r="T1" s="54" t="str">
        <f>Inputs!$C$6&amp;"  |  Scenario: "&amp;Inputs!$C$53</f>
        <v>Example Company ASA  |  Scenario: Base</v>
      </c>
    </row>
    <row r="2" spans="2:22" x14ac:dyDescent="0.35">
      <c r="B2" s="15" t="s">
        <v>442</v>
      </c>
    </row>
    <row r="3" spans="2:22" hidden="1" x14ac:dyDescent="0.35">
      <c r="E3" s="55">
        <f>Inputs!$C$17+0</f>
        <v>2019</v>
      </c>
      <c r="F3" s="55">
        <f>Inputs!$C$17+1</f>
        <v>2020</v>
      </c>
      <c r="G3" s="55">
        <f>Inputs!$C$17+2</f>
        <v>2021</v>
      </c>
      <c r="H3" s="55">
        <f>Inputs!$C$17+3</f>
        <v>2022</v>
      </c>
      <c r="I3" s="55">
        <f>Inputs!$C$17+4</f>
        <v>2023</v>
      </c>
      <c r="J3" s="55">
        <f>Inputs!$C$17+5</f>
        <v>2024</v>
      </c>
      <c r="K3" s="55">
        <f>Inputs!$C$17+6</f>
        <v>2025</v>
      </c>
      <c r="L3" s="55">
        <f>Inputs!$C$19+0</f>
        <v>2026</v>
      </c>
      <c r="M3" s="55">
        <f>Inputs!$C$19+1</f>
        <v>2027</v>
      </c>
      <c r="N3" s="55">
        <f>Inputs!$C$19+2</f>
        <v>2028</v>
      </c>
      <c r="O3" s="55">
        <f>Inputs!$C$19+3</f>
        <v>2029</v>
      </c>
      <c r="P3" s="55">
        <f>Inputs!$C$19+4</f>
        <v>2030</v>
      </c>
      <c r="Q3" s="55">
        <f>Inputs!$C$19+5</f>
        <v>2031</v>
      </c>
      <c r="R3" s="55">
        <f>Inputs!$C$19+6</f>
        <v>2032</v>
      </c>
      <c r="S3" s="55">
        <f>Inputs!$C$19+7</f>
        <v>2033</v>
      </c>
    </row>
    <row r="4" spans="2:22" x14ac:dyDescent="0.35">
      <c r="E4" s="254" t="s">
        <v>262</v>
      </c>
      <c r="F4" s="255"/>
      <c r="G4" s="255"/>
      <c r="H4" s="255"/>
      <c r="I4" s="255"/>
      <c r="J4" s="255"/>
      <c r="K4" s="255"/>
      <c r="L4" s="254" t="s">
        <v>355</v>
      </c>
      <c r="M4" s="255"/>
      <c r="N4" s="255"/>
      <c r="O4" s="255"/>
      <c r="P4" s="255"/>
      <c r="Q4" s="255"/>
      <c r="R4" s="255"/>
      <c r="S4" s="255"/>
    </row>
    <row r="5" spans="2:22"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c r="L5" s="75" t="str">
        <f t="shared" ref="L5:S5" si="1">L3&amp;"E"</f>
        <v>2026E</v>
      </c>
      <c r="M5" s="75" t="str">
        <f t="shared" si="1"/>
        <v>2027E</v>
      </c>
      <c r="N5" s="75" t="str">
        <f t="shared" si="1"/>
        <v>2028E</v>
      </c>
      <c r="O5" s="75" t="str">
        <f t="shared" si="1"/>
        <v>2029E</v>
      </c>
      <c r="P5" s="75" t="str">
        <f t="shared" si="1"/>
        <v>2030E</v>
      </c>
      <c r="Q5" s="75" t="str">
        <f t="shared" si="1"/>
        <v>2031E</v>
      </c>
      <c r="R5" s="75" t="str">
        <f t="shared" si="1"/>
        <v>2032E</v>
      </c>
      <c r="S5" s="75" t="str">
        <f t="shared" si="1"/>
        <v>2033E</v>
      </c>
      <c r="V5" s="9" t="s">
        <v>357</v>
      </c>
    </row>
    <row r="6" spans="2:22" ht="5" customHeight="1" x14ac:dyDescent="0.35"/>
    <row r="7" spans="2:22" ht="14.5" customHeight="1" x14ac:dyDescent="0.35">
      <c r="B7" s="9" t="s">
        <v>443</v>
      </c>
      <c r="C7" s="9"/>
      <c r="D7" s="9"/>
      <c r="E7" s="9"/>
      <c r="F7" s="9"/>
      <c r="G7" s="9"/>
      <c r="H7" s="9"/>
      <c r="I7" s="9"/>
      <c r="J7" s="9"/>
      <c r="K7" s="9"/>
      <c r="L7" s="9"/>
      <c r="M7" s="9"/>
      <c r="N7" s="9"/>
      <c r="O7" s="9"/>
      <c r="P7" s="9"/>
      <c r="Q7" s="9"/>
      <c r="R7" s="9"/>
      <c r="S7" s="9"/>
      <c r="T7" s="9"/>
    </row>
    <row r="8" spans="2:22" ht="5" customHeight="1" x14ac:dyDescent="0.35"/>
    <row r="9" spans="2:22" x14ac:dyDescent="0.35">
      <c r="B9" s="18" t="str">
        <f>Inputs!$C$73</f>
        <v>Norway</v>
      </c>
      <c r="C9" s="85"/>
      <c r="D9" s="85"/>
      <c r="E9" s="85"/>
      <c r="F9" s="85"/>
      <c r="G9" s="85"/>
      <c r="H9" s="85"/>
      <c r="I9" s="85"/>
      <c r="J9" s="85"/>
      <c r="K9" s="85"/>
      <c r="L9" s="85"/>
      <c r="M9" s="85"/>
      <c r="N9" s="85"/>
      <c r="O9" s="85"/>
      <c r="P9" s="85"/>
      <c r="Q9" s="85"/>
      <c r="R9" s="85"/>
      <c r="S9" s="85"/>
      <c r="T9" s="85"/>
    </row>
    <row r="10" spans="2:22" x14ac:dyDescent="0.35">
      <c r="B10" s="40" t="s">
        <v>444</v>
      </c>
      <c r="C10" s="59" t="s">
        <v>315</v>
      </c>
      <c r="E10" s="80">
        <f>Hist!E77</f>
        <v>82</v>
      </c>
      <c r="F10" s="80">
        <f>Hist!F77</f>
        <v>83</v>
      </c>
      <c r="G10" s="80">
        <f>Hist!G77</f>
        <v>85</v>
      </c>
      <c r="H10" s="80">
        <f>Hist!H77</f>
        <v>88</v>
      </c>
      <c r="I10" s="80">
        <f>Hist!I77</f>
        <v>89</v>
      </c>
      <c r="J10" s="80">
        <f>Hist!J77</f>
        <v>91</v>
      </c>
      <c r="K10" s="80">
        <f>Hist!K77</f>
        <v>94</v>
      </c>
      <c r="L10" s="49">
        <f t="shared" ref="L10:S10" si="2">K10+L11</f>
        <v>96</v>
      </c>
      <c r="M10" s="49">
        <f t="shared" si="2"/>
        <v>98</v>
      </c>
      <c r="N10" s="49">
        <f t="shared" si="2"/>
        <v>100</v>
      </c>
      <c r="O10" s="49">
        <f t="shared" si="2"/>
        <v>102</v>
      </c>
      <c r="P10" s="49">
        <f t="shared" si="2"/>
        <v>104</v>
      </c>
      <c r="Q10" s="49">
        <f t="shared" si="2"/>
        <v>105</v>
      </c>
      <c r="R10" s="49">
        <f t="shared" si="2"/>
        <v>106</v>
      </c>
      <c r="S10" s="49">
        <f t="shared" si="2"/>
        <v>107</v>
      </c>
    </row>
    <row r="11" spans="2:22" x14ac:dyDescent="0.35">
      <c r="B11" s="99" t="s">
        <v>445</v>
      </c>
      <c r="C11" s="59" t="s">
        <v>315</v>
      </c>
      <c r="F11" s="71">
        <f t="shared" ref="F11:K11" si="3">F10-E10</f>
        <v>1</v>
      </c>
      <c r="G11" s="71">
        <f t="shared" si="3"/>
        <v>2</v>
      </c>
      <c r="H11" s="71">
        <f t="shared" si="3"/>
        <v>3</v>
      </c>
      <c r="I11" s="71">
        <f t="shared" si="3"/>
        <v>1</v>
      </c>
      <c r="J11" s="71">
        <f t="shared" si="3"/>
        <v>2</v>
      </c>
      <c r="K11" s="71">
        <f t="shared" si="3"/>
        <v>3</v>
      </c>
      <c r="L11" s="100">
        <f>Drivers!L67</f>
        <v>2</v>
      </c>
      <c r="M11" s="100">
        <f>Drivers!M67</f>
        <v>2</v>
      </c>
      <c r="N11" s="100">
        <f>Drivers!N67</f>
        <v>2</v>
      </c>
      <c r="O11" s="100">
        <f>Drivers!O67</f>
        <v>2</v>
      </c>
      <c r="P11" s="100">
        <f>Drivers!P67</f>
        <v>2</v>
      </c>
      <c r="Q11" s="100">
        <f>Drivers!Q67</f>
        <v>1</v>
      </c>
      <c r="R11" s="100">
        <f>Drivers!R67</f>
        <v>1</v>
      </c>
      <c r="S11" s="100">
        <f>Drivers!S67</f>
        <v>1</v>
      </c>
    </row>
    <row r="12" spans="2:22" x14ac:dyDescent="0.35">
      <c r="B12" s="99" t="s">
        <v>446</v>
      </c>
      <c r="C12" s="59" t="s">
        <v>315</v>
      </c>
      <c r="E12" s="71">
        <f>0</f>
        <v>0</v>
      </c>
      <c r="F12" s="71">
        <f>0</f>
        <v>0</v>
      </c>
      <c r="G12" s="71">
        <f>0</f>
        <v>0</v>
      </c>
      <c r="H12" s="71">
        <f>0</f>
        <v>0</v>
      </c>
      <c r="I12" s="71">
        <f>0</f>
        <v>0</v>
      </c>
      <c r="J12" s="71">
        <f>0</f>
        <v>0</v>
      </c>
      <c r="K12" s="71">
        <f>0</f>
        <v>0</v>
      </c>
      <c r="L12" s="71">
        <f t="shared" ref="L12:S12" si="4">MAX(0,L11)</f>
        <v>2</v>
      </c>
      <c r="M12" s="71">
        <f t="shared" si="4"/>
        <v>2</v>
      </c>
      <c r="N12" s="71">
        <f t="shared" si="4"/>
        <v>2</v>
      </c>
      <c r="O12" s="71">
        <f t="shared" si="4"/>
        <v>2</v>
      </c>
      <c r="P12" s="71">
        <f t="shared" si="4"/>
        <v>2</v>
      </c>
      <c r="Q12" s="71">
        <f t="shared" si="4"/>
        <v>1</v>
      </c>
      <c r="R12" s="71">
        <f t="shared" si="4"/>
        <v>1</v>
      </c>
      <c r="S12" s="71">
        <f t="shared" si="4"/>
        <v>1</v>
      </c>
    </row>
    <row r="13" spans="2:22" x14ac:dyDescent="0.35">
      <c r="B13" s="40" t="s">
        <v>447</v>
      </c>
      <c r="C13" s="59" t="s">
        <v>315</v>
      </c>
      <c r="E13" s="48">
        <f t="shared" ref="E13:K13" si="5">E10</f>
        <v>82</v>
      </c>
      <c r="F13" s="48">
        <f t="shared" si="5"/>
        <v>83</v>
      </c>
      <c r="G13" s="48">
        <f t="shared" si="5"/>
        <v>85</v>
      </c>
      <c r="H13" s="48">
        <f t="shared" si="5"/>
        <v>88</v>
      </c>
      <c r="I13" s="48">
        <f t="shared" si="5"/>
        <v>89</v>
      </c>
      <c r="J13" s="48">
        <f t="shared" si="5"/>
        <v>91</v>
      </c>
      <c r="K13" s="48">
        <f t="shared" si="5"/>
        <v>94</v>
      </c>
      <c r="L13" s="48">
        <f>K13+MIN(0,L11)+L12*Drivers!$H$110+K12*(Drivers!$H$111-Drivers!$H$110)+J12*(Drivers!$H$112-Drivers!$H$111)+I12*(1-Drivers!$H$112)</f>
        <v>94.7</v>
      </c>
      <c r="M13" s="48">
        <f>L13+MIN(0,M11)+M12*Drivers!$H$110+L12*(Drivers!$H$111-Drivers!$H$110)+K12*(Drivers!$H$112-Drivers!$H$111)+J12*(1-Drivers!$H$112)</f>
        <v>96.2</v>
      </c>
      <c r="N13" s="48">
        <f>M13+MIN(0,N11)+N12*Drivers!$H$110+M12*(Drivers!$H$111-Drivers!$H$110)+L12*(Drivers!$H$112-Drivers!$H$111)+K12*(1-Drivers!$H$112)</f>
        <v>98.100000000000009</v>
      </c>
      <c r="O13" s="48">
        <f>N13+MIN(0,O11)+O12*Drivers!$H$110+N12*(Drivers!$H$111-Drivers!$H$110)+M12*(Drivers!$H$112-Drivers!$H$111)+L12*(1-Drivers!$H$112)</f>
        <v>100.10000000000001</v>
      </c>
      <c r="P13" s="48">
        <f>O13+MIN(0,P11)+P12*Drivers!$H$110+O12*(Drivers!$H$111-Drivers!$H$110)+N12*(Drivers!$H$112-Drivers!$H$111)+M12*(1-Drivers!$H$112)</f>
        <v>102.10000000000001</v>
      </c>
      <c r="Q13" s="48">
        <f>P13+MIN(0,Q11)+Q12*Drivers!$H$110+P12*(Drivers!$H$111-Drivers!$H$110)+O12*(Drivers!$H$112-Drivers!$H$111)+N12*(1-Drivers!$H$112)</f>
        <v>103.75</v>
      </c>
      <c r="R13" s="48">
        <f>Q13+MIN(0,R11)+R12*Drivers!$H$110+Q12*(Drivers!$H$111-Drivers!$H$110)+P12*(Drivers!$H$112-Drivers!$H$111)+O12*(1-Drivers!$H$112)</f>
        <v>105</v>
      </c>
      <c r="S13" s="48">
        <f>R13+MIN(0,S11)+S12*Drivers!$H$110+R12*(Drivers!$H$111-Drivers!$H$110)+Q12*(Drivers!$H$112-Drivers!$H$111)+P12*(1-Drivers!$H$112)</f>
        <v>106.05</v>
      </c>
      <c r="V13" s="15" t="s">
        <v>448</v>
      </c>
    </row>
    <row r="14" spans="2:22" x14ac:dyDescent="0.35">
      <c r="B14" s="40" t="str">
        <f>"Volume per mature location ("&amp;Inputs!$C$76&amp;")"</f>
        <v>Volume per mature location (Customers ('000))</v>
      </c>
      <c r="C14" s="59" t="s">
        <v>315</v>
      </c>
      <c r="E14" s="74">
        <f t="shared" ref="E14:K14" si="6">IF(E10=0,0,E16/E10)</f>
        <v>3.6585365853658538</v>
      </c>
      <c r="F14" s="74">
        <f t="shared" si="6"/>
        <v>3.3855421686746987</v>
      </c>
      <c r="G14" s="74">
        <f t="shared" si="6"/>
        <v>3.4</v>
      </c>
      <c r="H14" s="74">
        <f t="shared" si="6"/>
        <v>3.5909090909090908</v>
      </c>
      <c r="I14" s="74">
        <f t="shared" si="6"/>
        <v>3.696629213483146</v>
      </c>
      <c r="J14" s="74">
        <f t="shared" si="6"/>
        <v>3.7032967032967035</v>
      </c>
      <c r="K14" s="74">
        <f t="shared" si="6"/>
        <v>3.6914893617021276</v>
      </c>
      <c r="L14" s="74">
        <f>K14*(1+Drivers!L64)</f>
        <v>3.7210212765957444</v>
      </c>
      <c r="M14" s="74">
        <f>L14*(1+Drivers!M64)</f>
        <v>3.7470684255319142</v>
      </c>
      <c r="N14" s="74">
        <f>M14*(1+Drivers!N64)</f>
        <v>3.7695508360851058</v>
      </c>
      <c r="O14" s="74">
        <f>N14*(1+Drivers!O64)</f>
        <v>3.7883985902655311</v>
      </c>
      <c r="P14" s="74">
        <f>O14*(1+Drivers!P64)</f>
        <v>3.8035521846265934</v>
      </c>
      <c r="Q14" s="74">
        <f>P14*(1+Drivers!Q64)</f>
        <v>3.8149628411804728</v>
      </c>
      <c r="R14" s="74">
        <f>Q14*(1+Drivers!R64)</f>
        <v>3.8264077297040138</v>
      </c>
      <c r="S14" s="74">
        <f>R14*(1+Drivers!S64)</f>
        <v>3.8378869528931254</v>
      </c>
      <c r="V14" s="15" t="s">
        <v>449</v>
      </c>
    </row>
    <row r="15" spans="2:22" x14ac:dyDescent="0.35">
      <c r="B15" s="99" t="s">
        <v>450</v>
      </c>
      <c r="C15" s="59" t="s">
        <v>323</v>
      </c>
      <c r="F15" s="69">
        <f t="shared" ref="F15:S15" si="7">IF(E14=0,0,F14/E14-1)</f>
        <v>-7.4618473895582405E-2</v>
      </c>
      <c r="G15" s="69">
        <f t="shared" si="7"/>
        <v>4.270462633451988E-3</v>
      </c>
      <c r="H15" s="69">
        <f t="shared" si="7"/>
        <v>5.6149732620320858E-2</v>
      </c>
      <c r="I15" s="69">
        <f t="shared" si="7"/>
        <v>2.9441046792774817E-2</v>
      </c>
      <c r="J15" s="69">
        <f t="shared" si="7"/>
        <v>1.8036674571628719E-3</v>
      </c>
      <c r="K15" s="69">
        <f t="shared" si="7"/>
        <v>-3.1883325967548837E-3</v>
      </c>
      <c r="L15" s="69">
        <f t="shared" si="7"/>
        <v>8.0000000000000071E-3</v>
      </c>
      <c r="M15" s="69">
        <f t="shared" si="7"/>
        <v>6.9999999999998952E-3</v>
      </c>
      <c r="N15" s="69">
        <f t="shared" si="7"/>
        <v>6.0000000000000053E-3</v>
      </c>
      <c r="O15" s="69">
        <f t="shared" si="7"/>
        <v>4.9999999999998934E-3</v>
      </c>
      <c r="P15" s="69">
        <f t="shared" si="7"/>
        <v>4.0000000000000036E-3</v>
      </c>
      <c r="Q15" s="69">
        <f t="shared" si="7"/>
        <v>2.9999999999998916E-3</v>
      </c>
      <c r="R15" s="69">
        <f t="shared" si="7"/>
        <v>2.9999999999998916E-3</v>
      </c>
      <c r="S15" s="69">
        <f t="shared" si="7"/>
        <v>2.9999999999998916E-3</v>
      </c>
    </row>
    <row r="16" spans="2:22" x14ac:dyDescent="0.35">
      <c r="B16" s="40" t="str">
        <f>"Volume ("&amp;Inputs!$C$76&amp;")"</f>
        <v>Volume (Customers ('000))</v>
      </c>
      <c r="C16" s="59" t="s">
        <v>315</v>
      </c>
      <c r="E16" s="101">
        <f>Hist!E74</f>
        <v>300</v>
      </c>
      <c r="F16" s="101">
        <f>Hist!F74</f>
        <v>281</v>
      </c>
      <c r="G16" s="101">
        <f>Hist!G74</f>
        <v>289</v>
      </c>
      <c r="H16" s="101">
        <f>Hist!H74</f>
        <v>316</v>
      </c>
      <c r="I16" s="101">
        <f>Hist!I74</f>
        <v>329</v>
      </c>
      <c r="J16" s="101">
        <f>Hist!J74</f>
        <v>337</v>
      </c>
      <c r="K16" s="101">
        <f>Hist!K74</f>
        <v>347</v>
      </c>
      <c r="L16" s="48">
        <f>IF(Inputs!$C$72=2,L13*L14,K16*(1+Drivers!L58))</f>
        <v>352.38071489361698</v>
      </c>
      <c r="M16" s="48">
        <f>IF(Inputs!$C$72=2,M13*M14,L16*(1+Drivers!M58))</f>
        <v>360.46798253617015</v>
      </c>
      <c r="N16" s="48">
        <f>IF(Inputs!$C$72=2,N13*N14,M16*(1+Drivers!N58))</f>
        <v>369.79293701994891</v>
      </c>
      <c r="O16" s="48">
        <f>IF(Inputs!$C$72=2,O13*O14,N16*(1+Drivers!O58))</f>
        <v>379.21869888557967</v>
      </c>
      <c r="P16" s="48">
        <f>IF(Inputs!$C$72=2,P13*P14,O16*(1+Drivers!P58))</f>
        <v>388.34267805037524</v>
      </c>
      <c r="Q16" s="48">
        <f>IF(Inputs!$C$72=2,Q13*Q14,P16*(1+Drivers!Q58))</f>
        <v>395.80239477247403</v>
      </c>
      <c r="R16" s="48">
        <f>IF(Inputs!$C$72=2,R13*R14,Q16*(1+Drivers!R58))</f>
        <v>401.77281161892142</v>
      </c>
      <c r="S16" s="48">
        <f>IF(Inputs!$C$72=2,S13*S14,R16*(1+Drivers!S58))</f>
        <v>407.00791135431592</v>
      </c>
      <c r="V16" s="15" t="s">
        <v>451</v>
      </c>
    </row>
    <row r="17" spans="2:20" x14ac:dyDescent="0.35">
      <c r="B17" s="99" t="s">
        <v>452</v>
      </c>
      <c r="C17" s="59" t="s">
        <v>323</v>
      </c>
      <c r="F17" s="69">
        <f t="shared" ref="F17:S17" si="8">F16/E16-1</f>
        <v>-6.3333333333333353E-2</v>
      </c>
      <c r="G17" s="69">
        <f t="shared" si="8"/>
        <v>2.8469750889679624E-2</v>
      </c>
      <c r="H17" s="69">
        <f t="shared" si="8"/>
        <v>9.3425605536332279E-2</v>
      </c>
      <c r="I17" s="69">
        <f t="shared" si="8"/>
        <v>4.1139240506329111E-2</v>
      </c>
      <c r="J17" s="69">
        <f t="shared" si="8"/>
        <v>2.4316109422492405E-2</v>
      </c>
      <c r="K17" s="69">
        <f t="shared" si="8"/>
        <v>2.9673590504450953E-2</v>
      </c>
      <c r="L17" s="69">
        <f t="shared" si="8"/>
        <v>1.5506382978723199E-2</v>
      </c>
      <c r="M17" s="69">
        <f t="shared" si="8"/>
        <v>2.2950369588173203E-2</v>
      </c>
      <c r="N17" s="69">
        <f t="shared" si="8"/>
        <v>2.5869022869023039E-2</v>
      </c>
      <c r="O17" s="69">
        <f t="shared" si="8"/>
        <v>2.5489296636085568E-2</v>
      </c>
      <c r="P17" s="69">
        <f t="shared" si="8"/>
        <v>2.4059940059940166E-2</v>
      </c>
      <c r="Q17" s="69">
        <f t="shared" si="8"/>
        <v>1.9209108716943923E-2</v>
      </c>
      <c r="R17" s="69">
        <f t="shared" si="8"/>
        <v>1.5084337349397403E-2</v>
      </c>
      <c r="S17" s="69">
        <f t="shared" si="8"/>
        <v>1.3029999999999875E-2</v>
      </c>
    </row>
    <row r="18" spans="2:20" x14ac:dyDescent="0.35">
      <c r="B18" s="40" t="s">
        <v>453</v>
      </c>
      <c r="C18" s="59" t="s">
        <v>324</v>
      </c>
      <c r="E18" s="74">
        <f t="shared" ref="E18:S18" si="9">IF(E16=0,0,E20/E16)</f>
        <v>6.5</v>
      </c>
      <c r="F18" s="74">
        <f t="shared" si="9"/>
        <v>6.370106761565836</v>
      </c>
      <c r="G18" s="74">
        <f t="shared" si="9"/>
        <v>6.5051903114186853</v>
      </c>
      <c r="H18" s="74">
        <f t="shared" si="9"/>
        <v>6.8037974683544302</v>
      </c>
      <c r="I18" s="74">
        <f t="shared" si="9"/>
        <v>7.1124620060790278</v>
      </c>
      <c r="J18" s="74">
        <f t="shared" si="9"/>
        <v>7.4332344213649852</v>
      </c>
      <c r="K18" s="74">
        <f t="shared" si="9"/>
        <v>7.7521613832853022</v>
      </c>
      <c r="L18" s="74">
        <f t="shared" si="9"/>
        <v>8.0157348703170026</v>
      </c>
      <c r="M18" s="74">
        <f t="shared" si="9"/>
        <v>8.2562069164265122</v>
      </c>
      <c r="N18" s="74">
        <f t="shared" si="9"/>
        <v>8.4873807100864536</v>
      </c>
      <c r="O18" s="74">
        <f t="shared" si="9"/>
        <v>8.7080526085487016</v>
      </c>
      <c r="P18" s="74">
        <f t="shared" si="9"/>
        <v>8.9257539237624197</v>
      </c>
      <c r="Q18" s="74">
        <f t="shared" si="9"/>
        <v>9.1399720179327169</v>
      </c>
      <c r="R18" s="74">
        <f t="shared" si="9"/>
        <v>9.3501913743451688</v>
      </c>
      <c r="S18" s="74">
        <f t="shared" si="9"/>
        <v>9.5558955845807638</v>
      </c>
    </row>
    <row r="19" spans="2:20" x14ac:dyDescent="0.35">
      <c r="B19" s="99" t="s">
        <v>454</v>
      </c>
      <c r="C19" s="59" t="s">
        <v>323</v>
      </c>
      <c r="F19" s="69">
        <f t="shared" ref="F19:S19" si="10">(1+F21)/(1+F17)-1</f>
        <v>-1.9983575143717514E-2</v>
      </c>
      <c r="G19" s="69">
        <f t="shared" si="10"/>
        <v>2.120585335678804E-2</v>
      </c>
      <c r="H19" s="69">
        <f t="shared" si="10"/>
        <v>4.5902908699164913E-2</v>
      </c>
      <c r="I19" s="69">
        <f t="shared" si="10"/>
        <v>4.5366508800452454E-2</v>
      </c>
      <c r="J19" s="69">
        <f t="shared" si="10"/>
        <v>4.510005326029054E-2</v>
      </c>
      <c r="K19" s="69">
        <f t="shared" si="10"/>
        <v>4.2905543380098665E-2</v>
      </c>
      <c r="L19" s="69">
        <f t="shared" si="10"/>
        <v>3.400000000000003E-2</v>
      </c>
      <c r="M19" s="69">
        <f t="shared" si="10"/>
        <v>3.0000000000000027E-2</v>
      </c>
      <c r="N19" s="69">
        <f t="shared" si="10"/>
        <v>2.8000000000000025E-2</v>
      </c>
      <c r="O19" s="69">
        <f t="shared" si="10"/>
        <v>2.6000000000000023E-2</v>
      </c>
      <c r="P19" s="69">
        <f t="shared" si="10"/>
        <v>2.4999999999999911E-2</v>
      </c>
      <c r="Q19" s="69">
        <f t="shared" si="10"/>
        <v>2.4000000000000021E-2</v>
      </c>
      <c r="R19" s="69">
        <f t="shared" si="10"/>
        <v>2.3000000000000131E-2</v>
      </c>
      <c r="S19" s="69">
        <f t="shared" si="10"/>
        <v>2.200000000000002E-2</v>
      </c>
    </row>
    <row r="20" spans="2:20" x14ac:dyDescent="0.35">
      <c r="B20" s="61" t="s">
        <v>455</v>
      </c>
      <c r="C20" s="62" t="s">
        <v>167</v>
      </c>
      <c r="D20" s="63"/>
      <c r="E20" s="102">
        <f>Hist!E9</f>
        <v>1950</v>
      </c>
      <c r="F20" s="102">
        <f>Hist!F9</f>
        <v>1790</v>
      </c>
      <c r="G20" s="102">
        <f>Hist!G9</f>
        <v>1880</v>
      </c>
      <c r="H20" s="102">
        <f>Hist!H9</f>
        <v>2150</v>
      </c>
      <c r="I20" s="102">
        <f>Hist!I9</f>
        <v>2340</v>
      </c>
      <c r="J20" s="102">
        <f>Hist!J9</f>
        <v>2505</v>
      </c>
      <c r="K20" s="102">
        <f>Hist!K9</f>
        <v>2690</v>
      </c>
      <c r="L20" s="64">
        <f>IF(K16=0,K20*(1+Drivers!L58),K20*L16/K16)*(1+Drivers!L59)</f>
        <v>2824.5903839999996</v>
      </c>
      <c r="M20" s="64">
        <f>IF(L16=0,L20*(1+Drivers!M58),L20*M16/L16)*(1+Drivers!M59)</f>
        <v>2976.0982505654392</v>
      </c>
      <c r="N20" s="64">
        <f>IF(M16=0,M20*(1+Drivers!N58),M20*N16/M16)*(1+Drivers!N59)</f>
        <v>3138.5734403893293</v>
      </c>
      <c r="O20" s="64">
        <f>IF(N16=0,N20*(1+Drivers!O58),N20*O16/N16)*(1+Drivers!O59)</f>
        <v>3302.2563800410167</v>
      </c>
      <c r="P20" s="64">
        <f>IF(O16=0,O20*(1+Drivers!P58),O20*P16/O16)*(1+Drivers!P59)</f>
        <v>3466.2511823725426</v>
      </c>
      <c r="Q20" s="64">
        <f>IF(P16=0,P20*(1+Drivers!Q58),P20*Q16/P16)*(1+Drivers!Q59)</f>
        <v>3617.6228128511716</v>
      </c>
      <c r="R20" s="64">
        <f>IF(Q16=0,Q20*(1+Drivers!R58),Q20*R16/Q16)*(1+Drivers!R59)</f>
        <v>3756.6526776456458</v>
      </c>
      <c r="S20" s="64">
        <f>IF(R16=0,R20*(1+Drivers!S58),R20*S16/R16)*(1+Drivers!S59)</f>
        <v>3889.3251030001461</v>
      </c>
      <c r="T20" s="63"/>
    </row>
    <row r="21" spans="2:20" x14ac:dyDescent="0.35">
      <c r="B21" s="99" t="s">
        <v>322</v>
      </c>
      <c r="C21" s="59" t="s">
        <v>323</v>
      </c>
      <c r="F21" s="69">
        <f t="shared" ref="F21:S21" si="11">F20/E20-1</f>
        <v>-8.2051282051282093E-2</v>
      </c>
      <c r="G21" s="69">
        <f t="shared" si="11"/>
        <v>5.027932960893855E-2</v>
      </c>
      <c r="H21" s="69">
        <f t="shared" si="11"/>
        <v>0.1436170212765957</v>
      </c>
      <c r="I21" s="69">
        <f t="shared" si="11"/>
        <v>8.8372093023255882E-2</v>
      </c>
      <c r="J21" s="69">
        <f t="shared" si="11"/>
        <v>7.0512820512820484E-2</v>
      </c>
      <c r="K21" s="69">
        <f t="shared" si="11"/>
        <v>7.385229540918159E-2</v>
      </c>
      <c r="L21" s="69">
        <f t="shared" si="11"/>
        <v>5.00335999999999E-2</v>
      </c>
      <c r="M21" s="69">
        <f t="shared" si="11"/>
        <v>5.3638880675818346E-2</v>
      </c>
      <c r="N21" s="69">
        <f t="shared" si="11"/>
        <v>5.4593355509355623E-2</v>
      </c>
      <c r="O21" s="69">
        <f t="shared" si="11"/>
        <v>5.2152018348623708E-2</v>
      </c>
      <c r="P21" s="69">
        <f t="shared" si="11"/>
        <v>4.9661438561438676E-2</v>
      </c>
      <c r="Q21" s="69">
        <f t="shared" si="11"/>
        <v>4.367012732615061E-2</v>
      </c>
      <c r="R21" s="69">
        <f t="shared" si="11"/>
        <v>3.8431277108433637E-2</v>
      </c>
      <c r="S21" s="69">
        <f t="shared" si="11"/>
        <v>3.5316659999999889E-2</v>
      </c>
    </row>
    <row r="22" spans="2:20" ht="8" customHeight="1" x14ac:dyDescent="0.35"/>
    <row r="23" spans="2:20" x14ac:dyDescent="0.35">
      <c r="B23" s="18" t="str">
        <f>Inputs!$C$74</f>
        <v>Sweden</v>
      </c>
      <c r="C23" s="85"/>
      <c r="D23" s="85"/>
      <c r="E23" s="85"/>
      <c r="F23" s="85"/>
      <c r="G23" s="85"/>
      <c r="H23" s="85"/>
      <c r="I23" s="85"/>
      <c r="J23" s="85"/>
      <c r="K23" s="85"/>
      <c r="L23" s="85"/>
      <c r="M23" s="85"/>
      <c r="N23" s="85"/>
      <c r="O23" s="85"/>
      <c r="P23" s="85"/>
      <c r="Q23" s="85"/>
      <c r="R23" s="85"/>
      <c r="S23" s="85"/>
      <c r="T23" s="85"/>
    </row>
    <row r="24" spans="2:20" x14ac:dyDescent="0.35">
      <c r="B24" s="40" t="s">
        <v>444</v>
      </c>
      <c r="C24" s="59" t="s">
        <v>315</v>
      </c>
      <c r="E24" s="80">
        <f>Hist!E78</f>
        <v>68</v>
      </c>
      <c r="F24" s="80">
        <f>Hist!F78</f>
        <v>69</v>
      </c>
      <c r="G24" s="80">
        <f>Hist!G78</f>
        <v>70</v>
      </c>
      <c r="H24" s="80">
        <f>Hist!H78</f>
        <v>73</v>
      </c>
      <c r="I24" s="80">
        <f>Hist!I78</f>
        <v>75</v>
      </c>
      <c r="J24" s="80">
        <f>Hist!J78</f>
        <v>76</v>
      </c>
      <c r="K24" s="80">
        <f>Hist!K78</f>
        <v>77</v>
      </c>
      <c r="L24" s="49">
        <f t="shared" ref="L24:S24" si="12">K24+L25</f>
        <v>79</v>
      </c>
      <c r="M24" s="49">
        <f t="shared" si="12"/>
        <v>81</v>
      </c>
      <c r="N24" s="49">
        <f t="shared" si="12"/>
        <v>83</v>
      </c>
      <c r="O24" s="49">
        <f t="shared" si="12"/>
        <v>85</v>
      </c>
      <c r="P24" s="49">
        <f t="shared" si="12"/>
        <v>86</v>
      </c>
      <c r="Q24" s="49">
        <f t="shared" si="12"/>
        <v>87</v>
      </c>
      <c r="R24" s="49">
        <f t="shared" si="12"/>
        <v>88</v>
      </c>
      <c r="S24" s="49">
        <f t="shared" si="12"/>
        <v>89</v>
      </c>
    </row>
    <row r="25" spans="2:20" x14ac:dyDescent="0.35">
      <c r="B25" s="99" t="s">
        <v>445</v>
      </c>
      <c r="C25" s="59" t="s">
        <v>315</v>
      </c>
      <c r="F25" s="71">
        <f t="shared" ref="F25:K25" si="13">F24-E24</f>
        <v>1</v>
      </c>
      <c r="G25" s="71">
        <f t="shared" si="13"/>
        <v>1</v>
      </c>
      <c r="H25" s="71">
        <f t="shared" si="13"/>
        <v>3</v>
      </c>
      <c r="I25" s="71">
        <f t="shared" si="13"/>
        <v>2</v>
      </c>
      <c r="J25" s="71">
        <f t="shared" si="13"/>
        <v>1</v>
      </c>
      <c r="K25" s="71">
        <f t="shared" si="13"/>
        <v>1</v>
      </c>
      <c r="L25" s="100">
        <f>Drivers!L68</f>
        <v>2</v>
      </c>
      <c r="M25" s="100">
        <f>Drivers!M68</f>
        <v>2</v>
      </c>
      <c r="N25" s="100">
        <f>Drivers!N68</f>
        <v>2</v>
      </c>
      <c r="O25" s="100">
        <f>Drivers!O68</f>
        <v>2</v>
      </c>
      <c r="P25" s="100">
        <f>Drivers!P68</f>
        <v>1</v>
      </c>
      <c r="Q25" s="100">
        <f>Drivers!Q68</f>
        <v>1</v>
      </c>
      <c r="R25" s="100">
        <f>Drivers!R68</f>
        <v>1</v>
      </c>
      <c r="S25" s="100">
        <f>Drivers!S68</f>
        <v>1</v>
      </c>
    </row>
    <row r="26" spans="2:20" x14ac:dyDescent="0.35">
      <c r="B26" s="99" t="s">
        <v>446</v>
      </c>
      <c r="C26" s="59" t="s">
        <v>315</v>
      </c>
      <c r="E26" s="71">
        <f>0</f>
        <v>0</v>
      </c>
      <c r="F26" s="71">
        <f>0</f>
        <v>0</v>
      </c>
      <c r="G26" s="71">
        <f>0</f>
        <v>0</v>
      </c>
      <c r="H26" s="71">
        <f>0</f>
        <v>0</v>
      </c>
      <c r="I26" s="71">
        <f>0</f>
        <v>0</v>
      </c>
      <c r="J26" s="71">
        <f>0</f>
        <v>0</v>
      </c>
      <c r="K26" s="71">
        <f>0</f>
        <v>0</v>
      </c>
      <c r="L26" s="71">
        <f t="shared" ref="L26:S26" si="14">MAX(0,L25)</f>
        <v>2</v>
      </c>
      <c r="M26" s="71">
        <f t="shared" si="14"/>
        <v>2</v>
      </c>
      <c r="N26" s="71">
        <f t="shared" si="14"/>
        <v>2</v>
      </c>
      <c r="O26" s="71">
        <f t="shared" si="14"/>
        <v>2</v>
      </c>
      <c r="P26" s="71">
        <f t="shared" si="14"/>
        <v>1</v>
      </c>
      <c r="Q26" s="71">
        <f t="shared" si="14"/>
        <v>1</v>
      </c>
      <c r="R26" s="71">
        <f t="shared" si="14"/>
        <v>1</v>
      </c>
      <c r="S26" s="71">
        <f t="shared" si="14"/>
        <v>1</v>
      </c>
    </row>
    <row r="27" spans="2:20" x14ac:dyDescent="0.35">
      <c r="B27" s="40" t="s">
        <v>447</v>
      </c>
      <c r="C27" s="59" t="s">
        <v>315</v>
      </c>
      <c r="E27" s="48">
        <f t="shared" ref="E27:K27" si="15">E24</f>
        <v>68</v>
      </c>
      <c r="F27" s="48">
        <f t="shared" si="15"/>
        <v>69</v>
      </c>
      <c r="G27" s="48">
        <f t="shared" si="15"/>
        <v>70</v>
      </c>
      <c r="H27" s="48">
        <f t="shared" si="15"/>
        <v>73</v>
      </c>
      <c r="I27" s="48">
        <f t="shared" si="15"/>
        <v>75</v>
      </c>
      <c r="J27" s="48">
        <f t="shared" si="15"/>
        <v>76</v>
      </c>
      <c r="K27" s="48">
        <f t="shared" si="15"/>
        <v>77</v>
      </c>
      <c r="L27" s="48">
        <f>K27+MIN(0,L25)+L26*Drivers!$H$110+K26*(Drivers!$H$111-Drivers!$H$110)+J26*(Drivers!$H$112-Drivers!$H$111)+I26*(1-Drivers!$H$112)</f>
        <v>77.7</v>
      </c>
      <c r="M27" s="48">
        <f>L27+MIN(0,M25)+M26*Drivers!$H$110+L26*(Drivers!$H$111-Drivers!$H$110)+K26*(Drivers!$H$112-Drivers!$H$111)+J26*(1-Drivers!$H$112)</f>
        <v>79.2</v>
      </c>
      <c r="N27" s="48">
        <f>M27+MIN(0,N25)+N26*Drivers!$H$110+M26*(Drivers!$H$111-Drivers!$H$110)+L26*(Drivers!$H$112-Drivers!$H$111)+K26*(1-Drivers!$H$112)</f>
        <v>81.100000000000009</v>
      </c>
      <c r="O27" s="48">
        <f>N27+MIN(0,O25)+O26*Drivers!$H$110+N26*(Drivers!$H$111-Drivers!$H$110)+M26*(Drivers!$H$112-Drivers!$H$111)+L26*(1-Drivers!$H$112)</f>
        <v>83.100000000000009</v>
      </c>
      <c r="P27" s="48">
        <f>O27+MIN(0,P25)+P26*Drivers!$H$110+O26*(Drivers!$H$111-Drivers!$H$110)+N26*(Drivers!$H$112-Drivers!$H$111)+M26*(1-Drivers!$H$112)</f>
        <v>84.75</v>
      </c>
      <c r="Q27" s="48">
        <f>P27+MIN(0,Q25)+Q26*Drivers!$H$110+P26*(Drivers!$H$111-Drivers!$H$110)+O26*(Drivers!$H$112-Drivers!$H$111)+N26*(1-Drivers!$H$112)</f>
        <v>86</v>
      </c>
      <c r="R27" s="48">
        <f>Q27+MIN(0,R25)+R26*Drivers!$H$110+Q26*(Drivers!$H$111-Drivers!$H$110)+P26*(Drivers!$H$112-Drivers!$H$111)+O26*(1-Drivers!$H$112)</f>
        <v>87.05</v>
      </c>
      <c r="S27" s="48">
        <f>R27+MIN(0,S25)+S26*Drivers!$H$110+R26*(Drivers!$H$111-Drivers!$H$110)+Q26*(Drivers!$H$112-Drivers!$H$111)+P26*(1-Drivers!$H$112)</f>
        <v>88.05</v>
      </c>
    </row>
    <row r="28" spans="2:20" x14ac:dyDescent="0.35">
      <c r="B28" s="40" t="str">
        <f>"Volume per mature location ("&amp;Inputs!$C$76&amp;")"</f>
        <v>Volume per mature location (Customers ('000))</v>
      </c>
      <c r="C28" s="59" t="s">
        <v>315</v>
      </c>
      <c r="E28" s="74">
        <f t="shared" ref="E28:K28" si="16">IF(E24=0,0,E30/E24)</f>
        <v>3.3529411764705883</v>
      </c>
      <c r="F28" s="74">
        <f t="shared" si="16"/>
        <v>3.0724637681159419</v>
      </c>
      <c r="G28" s="74">
        <f t="shared" si="16"/>
        <v>3.1285714285714286</v>
      </c>
      <c r="H28" s="74">
        <f t="shared" si="16"/>
        <v>3.3835616438356166</v>
      </c>
      <c r="I28" s="74">
        <f t="shared" si="16"/>
        <v>3.4533333333333331</v>
      </c>
      <c r="J28" s="74">
        <f t="shared" si="16"/>
        <v>3.513157894736842</v>
      </c>
      <c r="K28" s="74">
        <f t="shared" si="16"/>
        <v>3.5584415584415585</v>
      </c>
      <c r="L28" s="74">
        <f>K28*(1+Drivers!L65)</f>
        <v>3.5940259740259743</v>
      </c>
      <c r="M28" s="74">
        <f>L28*(1+Drivers!M65)</f>
        <v>3.6263722077922078</v>
      </c>
      <c r="N28" s="74">
        <f>M28*(1+Drivers!N65)</f>
        <v>3.6553831854545455</v>
      </c>
      <c r="O28" s="74">
        <f>N28*(1+Drivers!O65)</f>
        <v>3.6809708677527269</v>
      </c>
      <c r="P28" s="74">
        <f>O28*(1+Drivers!P65)</f>
        <v>3.7030566929592434</v>
      </c>
      <c r="Q28" s="74">
        <f>P28*(1+Drivers!Q65)</f>
        <v>3.7215719764240394</v>
      </c>
      <c r="R28" s="74">
        <f>Q28*(1+Drivers!R65)</f>
        <v>3.7364582643297357</v>
      </c>
      <c r="S28" s="74">
        <f>R28*(1+Drivers!S65)</f>
        <v>3.7476676391227244</v>
      </c>
    </row>
    <row r="29" spans="2:20" x14ac:dyDescent="0.35">
      <c r="B29" s="99" t="s">
        <v>450</v>
      </c>
      <c r="C29" s="59" t="s">
        <v>323</v>
      </c>
      <c r="F29" s="69">
        <f t="shared" ref="F29:S29" si="17">IF(E28=0,0,F28/E28-1)</f>
        <v>-8.3651156877701527E-2</v>
      </c>
      <c r="G29" s="69">
        <f t="shared" si="17"/>
        <v>1.8261455525606429E-2</v>
      </c>
      <c r="H29" s="69">
        <f t="shared" si="17"/>
        <v>8.1503721773941384E-2</v>
      </c>
      <c r="I29" s="69">
        <f t="shared" si="17"/>
        <v>2.0620782726045839E-2</v>
      </c>
      <c r="J29" s="69">
        <f t="shared" si="17"/>
        <v>1.7323714692135672E-2</v>
      </c>
      <c r="K29" s="69">
        <f t="shared" si="17"/>
        <v>1.2889731990855635E-2</v>
      </c>
      <c r="L29" s="69">
        <f t="shared" si="17"/>
        <v>1.0000000000000009E-2</v>
      </c>
      <c r="M29" s="69">
        <f t="shared" si="17"/>
        <v>8.999999999999897E-3</v>
      </c>
      <c r="N29" s="69">
        <f t="shared" si="17"/>
        <v>8.0000000000000071E-3</v>
      </c>
      <c r="O29" s="69">
        <f t="shared" si="17"/>
        <v>6.9999999999998952E-3</v>
      </c>
      <c r="P29" s="69">
        <f t="shared" si="17"/>
        <v>6.0000000000000053E-3</v>
      </c>
      <c r="Q29" s="69">
        <f t="shared" si="17"/>
        <v>4.9999999999998934E-3</v>
      </c>
      <c r="R29" s="69">
        <f t="shared" si="17"/>
        <v>4.0000000000000036E-3</v>
      </c>
      <c r="S29" s="69">
        <f t="shared" si="17"/>
        <v>2.9999999999998916E-3</v>
      </c>
    </row>
    <row r="30" spans="2:20" x14ac:dyDescent="0.35">
      <c r="B30" s="40" t="str">
        <f>"Volume ("&amp;Inputs!$C$76&amp;")"</f>
        <v>Volume (Customers ('000))</v>
      </c>
      <c r="C30" s="59" t="s">
        <v>315</v>
      </c>
      <c r="E30" s="101">
        <f>Hist!E75</f>
        <v>228</v>
      </c>
      <c r="F30" s="101">
        <f>Hist!F75</f>
        <v>212</v>
      </c>
      <c r="G30" s="101">
        <f>Hist!G75</f>
        <v>219</v>
      </c>
      <c r="H30" s="101">
        <f>Hist!H75</f>
        <v>247</v>
      </c>
      <c r="I30" s="101">
        <f>Hist!I75</f>
        <v>259</v>
      </c>
      <c r="J30" s="101">
        <f>Hist!J75</f>
        <v>267</v>
      </c>
      <c r="K30" s="101">
        <f>Hist!K75</f>
        <v>274</v>
      </c>
      <c r="L30" s="48">
        <f>IF(Inputs!$C$72=2,L27*L28,K30*(1+Drivers!L60))</f>
        <v>279.2558181818182</v>
      </c>
      <c r="M30" s="48">
        <f>IF(Inputs!$C$72=2,M27*M28,L30*(1+Drivers!M60))</f>
        <v>287.20867885714284</v>
      </c>
      <c r="N30" s="48">
        <f>IF(Inputs!$C$72=2,N27*N28,M30*(1+Drivers!N60))</f>
        <v>296.45157634036366</v>
      </c>
      <c r="O30" s="48">
        <f>IF(Inputs!$C$72=2,O27*O28,N30*(1+Drivers!O60))</f>
        <v>305.88867911025164</v>
      </c>
      <c r="P30" s="48">
        <f>IF(Inputs!$C$72=2,P27*P28,O30*(1+Drivers!P60))</f>
        <v>313.83405472829588</v>
      </c>
      <c r="Q30" s="48">
        <f>IF(Inputs!$C$72=2,Q27*Q28,P30*(1+Drivers!Q60))</f>
        <v>320.05518997246736</v>
      </c>
      <c r="R30" s="48">
        <f>IF(Inputs!$C$72=2,R27*R28,Q30*(1+Drivers!R60))</f>
        <v>325.25869190990346</v>
      </c>
      <c r="S30" s="48">
        <f>IF(Inputs!$C$72=2,S27*S28,R30*(1+Drivers!S60))</f>
        <v>329.98213562475587</v>
      </c>
    </row>
    <row r="31" spans="2:20" x14ac:dyDescent="0.35">
      <c r="B31" s="99" t="s">
        <v>452</v>
      </c>
      <c r="C31" s="59" t="s">
        <v>323</v>
      </c>
      <c r="F31" s="69">
        <f t="shared" ref="F31:S31" si="18">F30/E30-1</f>
        <v>-7.0175438596491224E-2</v>
      </c>
      <c r="G31" s="69">
        <f t="shared" si="18"/>
        <v>3.3018867924528239E-2</v>
      </c>
      <c r="H31" s="69">
        <f t="shared" si="18"/>
        <v>0.12785388127853881</v>
      </c>
      <c r="I31" s="69">
        <f t="shared" si="18"/>
        <v>4.8582995951417018E-2</v>
      </c>
      <c r="J31" s="69">
        <f t="shared" si="18"/>
        <v>3.0888030888030826E-2</v>
      </c>
      <c r="K31" s="69">
        <f t="shared" si="18"/>
        <v>2.621722846441954E-2</v>
      </c>
      <c r="L31" s="69">
        <f t="shared" si="18"/>
        <v>1.9181818181818189E-2</v>
      </c>
      <c r="M31" s="69">
        <f t="shared" si="18"/>
        <v>2.8478764478764296E-2</v>
      </c>
      <c r="N31" s="69">
        <f t="shared" si="18"/>
        <v>3.2181818181818311E-2</v>
      </c>
      <c r="O31" s="69">
        <f t="shared" si="18"/>
        <v>3.1833538840936981E-2</v>
      </c>
      <c r="P31" s="69">
        <f t="shared" si="18"/>
        <v>2.597472924187727E-2</v>
      </c>
      <c r="Q31" s="69">
        <f t="shared" si="18"/>
        <v>1.9823008849557455E-2</v>
      </c>
      <c r="R31" s="69">
        <f t="shared" si="18"/>
        <v>1.6258139534883753E-2</v>
      </c>
      <c r="S31" s="69">
        <f t="shared" si="18"/>
        <v>1.4522113727742703E-2</v>
      </c>
    </row>
    <row r="32" spans="2:20" x14ac:dyDescent="0.35">
      <c r="B32" s="40" t="s">
        <v>453</v>
      </c>
      <c r="C32" s="59" t="s">
        <v>324</v>
      </c>
      <c r="E32" s="74">
        <f t="shared" ref="E32:S32" si="19">IF(E30=0,0,E34/E30)</f>
        <v>5.4385964912280702</v>
      </c>
      <c r="F32" s="74">
        <f t="shared" si="19"/>
        <v>5.3301886792452828</v>
      </c>
      <c r="G32" s="74">
        <f t="shared" si="19"/>
        <v>5.4337899543378994</v>
      </c>
      <c r="H32" s="74">
        <f t="shared" si="19"/>
        <v>5.668016194331984</v>
      </c>
      <c r="I32" s="74">
        <f t="shared" si="19"/>
        <v>5.9652509652509655</v>
      </c>
      <c r="J32" s="74">
        <f t="shared" si="19"/>
        <v>6.2359550561797752</v>
      </c>
      <c r="K32" s="74">
        <f t="shared" si="19"/>
        <v>6.5145985401459852</v>
      </c>
      <c r="L32" s="74">
        <f t="shared" si="19"/>
        <v>6.7230656934306579</v>
      </c>
      <c r="M32" s="74">
        <f t="shared" si="19"/>
        <v>6.9247576642335771</v>
      </c>
      <c r="N32" s="74">
        <f t="shared" si="19"/>
        <v>7.1186508788321179</v>
      </c>
      <c r="O32" s="74">
        <f t="shared" si="19"/>
        <v>7.3037358016817535</v>
      </c>
      <c r="P32" s="74">
        <f t="shared" si="19"/>
        <v>7.4863291967237977</v>
      </c>
      <c r="Q32" s="74">
        <f t="shared" si="19"/>
        <v>7.6660010974451707</v>
      </c>
      <c r="R32" s="74">
        <f t="shared" si="19"/>
        <v>7.8423191226864075</v>
      </c>
      <c r="S32" s="74">
        <f t="shared" si="19"/>
        <v>8.0148501433855088</v>
      </c>
    </row>
    <row r="33" spans="2:20" x14ac:dyDescent="0.35">
      <c r="B33" s="99" t="s">
        <v>454</v>
      </c>
      <c r="C33" s="59" t="s">
        <v>323</v>
      </c>
      <c r="F33" s="69">
        <f t="shared" ref="F33:S33" si="20">(1+F35)/(1+F31)-1</f>
        <v>-1.9933049300060901E-2</v>
      </c>
      <c r="G33" s="69">
        <f t="shared" si="20"/>
        <v>1.9436699397906931E-2</v>
      </c>
      <c r="H33" s="69">
        <f t="shared" si="20"/>
        <v>4.3105501309835814E-2</v>
      </c>
      <c r="I33" s="69">
        <f t="shared" si="20"/>
        <v>5.2440706012134575E-2</v>
      </c>
      <c r="J33" s="69">
        <f t="shared" si="20"/>
        <v>4.5380167993891218E-2</v>
      </c>
      <c r="K33" s="69">
        <f t="shared" si="20"/>
        <v>4.4683369500887693E-2</v>
      </c>
      <c r="L33" s="69">
        <f t="shared" si="20"/>
        <v>3.2000000000000028E-2</v>
      </c>
      <c r="M33" s="69">
        <f t="shared" si="20"/>
        <v>3.0000000000000027E-2</v>
      </c>
      <c r="N33" s="69">
        <f t="shared" si="20"/>
        <v>2.8000000000000025E-2</v>
      </c>
      <c r="O33" s="69">
        <f t="shared" si="20"/>
        <v>2.6000000000000245E-2</v>
      </c>
      <c r="P33" s="69">
        <f t="shared" si="20"/>
        <v>2.4999999999999911E-2</v>
      </c>
      <c r="Q33" s="69">
        <f t="shared" si="20"/>
        <v>2.4000000000000021E-2</v>
      </c>
      <c r="R33" s="69">
        <f t="shared" si="20"/>
        <v>2.2999999999999687E-2</v>
      </c>
      <c r="S33" s="69">
        <f t="shared" si="20"/>
        <v>2.1999999999999797E-2</v>
      </c>
    </row>
    <row r="34" spans="2:20" x14ac:dyDescent="0.35">
      <c r="B34" s="61" t="s">
        <v>455</v>
      </c>
      <c r="C34" s="62" t="s">
        <v>167</v>
      </c>
      <c r="D34" s="63"/>
      <c r="E34" s="102">
        <f>Hist!E10</f>
        <v>1240</v>
      </c>
      <c r="F34" s="102">
        <f>Hist!F10</f>
        <v>1130</v>
      </c>
      <c r="G34" s="102">
        <f>Hist!G10</f>
        <v>1190</v>
      </c>
      <c r="H34" s="102">
        <f>Hist!H10</f>
        <v>1400</v>
      </c>
      <c r="I34" s="102">
        <f>Hist!I10</f>
        <v>1545</v>
      </c>
      <c r="J34" s="102">
        <f>Hist!J10</f>
        <v>1665</v>
      </c>
      <c r="K34" s="102">
        <f>Hist!K10</f>
        <v>1785</v>
      </c>
      <c r="L34" s="64">
        <f>IF(K30=0,K34*(1+Drivers!L60),K34*L30/K30)*(1+Drivers!L61)</f>
        <v>1877.4552109090912</v>
      </c>
      <c r="M34" s="64">
        <f>IF(L30=0,L34*(1+Drivers!M60),L34*M30/L30)*(1+Drivers!M61)</f>
        <v>1988.8505001504</v>
      </c>
      <c r="N34" s="64">
        <f>IF(M30=0,M34*(1+Drivers!N60),M34*N30/M30)*(1+Drivers!N61)</f>
        <v>2110.3352744464964</v>
      </c>
      <c r="O34" s="64">
        <f>IF(N30=0,N34*(1+Drivers!O60),N34*O30/N30)*(1+Drivers!O61)</f>
        <v>2234.1300969466865</v>
      </c>
      <c r="P34" s="64">
        <f>IF(O30=0,O34*(1+Drivers!P60),O34*P30/O30)*(1+Drivers!P61)</f>
        <v>2349.4650468386558</v>
      </c>
      <c r="Q34" s="64">
        <f>IF(P30=0,P34*(1+Drivers!Q60),P34*Q30/P30)*(1+Drivers!Q61)</f>
        <v>2453.5434375719574</v>
      </c>
      <c r="R34" s="64">
        <f>IF(Q30=0,Q34*(1+Drivers!R60),Q34*R30/Q30)*(1+Drivers!R61)</f>
        <v>2550.7824593850028</v>
      </c>
      <c r="S34" s="64">
        <f>IF(R30=0,R34*(1+Drivers!S60),R34*S30/R30)*(1+Drivers!S61)</f>
        <v>2644.7573670267311</v>
      </c>
      <c r="T34" s="63"/>
    </row>
    <row r="35" spans="2:20" x14ac:dyDescent="0.35">
      <c r="B35" s="99" t="s">
        <v>322</v>
      </c>
      <c r="C35" s="59" t="s">
        <v>323</v>
      </c>
      <c r="F35" s="69">
        <f t="shared" ref="F35:S35" si="21">F34/E34-1</f>
        <v>-8.8709677419354871E-2</v>
      </c>
      <c r="G35" s="69">
        <f t="shared" si="21"/>
        <v>5.3097345132743445E-2</v>
      </c>
      <c r="H35" s="69">
        <f t="shared" si="21"/>
        <v>0.17647058823529416</v>
      </c>
      <c r="I35" s="69">
        <f t="shared" si="21"/>
        <v>0.10357142857142865</v>
      </c>
      <c r="J35" s="69">
        <f t="shared" si="21"/>
        <v>7.7669902912621325E-2</v>
      </c>
      <c r="K35" s="69">
        <f t="shared" si="21"/>
        <v>7.2072072072072002E-2</v>
      </c>
      <c r="L35" s="69">
        <f t="shared" si="21"/>
        <v>5.1795636363636488E-2</v>
      </c>
      <c r="M35" s="69">
        <f t="shared" si="21"/>
        <v>5.933312741312724E-2</v>
      </c>
      <c r="N35" s="69">
        <f t="shared" si="21"/>
        <v>6.1082909090909299E-2</v>
      </c>
      <c r="O35" s="69">
        <f t="shared" si="21"/>
        <v>5.866121085080156E-2</v>
      </c>
      <c r="P35" s="69">
        <f t="shared" si="21"/>
        <v>5.1624097472924069E-2</v>
      </c>
      <c r="Q35" s="69">
        <f t="shared" si="21"/>
        <v>4.4298761061946967E-2</v>
      </c>
      <c r="R35" s="69">
        <f t="shared" si="21"/>
        <v>3.9632076744185785E-2</v>
      </c>
      <c r="S35" s="69">
        <f t="shared" si="21"/>
        <v>3.6841600229752913E-2</v>
      </c>
    </row>
    <row r="36" spans="2:20" ht="8" customHeight="1" x14ac:dyDescent="0.35"/>
    <row r="37" spans="2:20" x14ac:dyDescent="0.35">
      <c r="B37" s="18" t="str">
        <f>Inputs!$C$75</f>
        <v>Denmark &amp; Finland</v>
      </c>
      <c r="C37" s="85"/>
      <c r="D37" s="85"/>
      <c r="E37" s="85"/>
      <c r="F37" s="85"/>
      <c r="G37" s="85"/>
      <c r="H37" s="85"/>
      <c r="I37" s="85"/>
      <c r="J37" s="85"/>
      <c r="K37" s="85"/>
      <c r="L37" s="85"/>
      <c r="M37" s="85"/>
      <c r="N37" s="85"/>
      <c r="O37" s="85"/>
      <c r="P37" s="85"/>
      <c r="Q37" s="85"/>
      <c r="R37" s="85"/>
      <c r="S37" s="85"/>
      <c r="T37" s="85"/>
    </row>
    <row r="38" spans="2:20" x14ac:dyDescent="0.35">
      <c r="B38" s="40" t="s">
        <v>444</v>
      </c>
      <c r="C38" s="59" t="s">
        <v>315</v>
      </c>
      <c r="E38" s="80">
        <f>Hist!E79</f>
        <v>32</v>
      </c>
      <c r="F38" s="80">
        <f>Hist!F79</f>
        <v>32</v>
      </c>
      <c r="G38" s="80">
        <f>Hist!G79</f>
        <v>33</v>
      </c>
      <c r="H38" s="80">
        <f>Hist!H79</f>
        <v>40</v>
      </c>
      <c r="I38" s="80">
        <f>Hist!I79</f>
        <v>42</v>
      </c>
      <c r="J38" s="80">
        <f>Hist!J79</f>
        <v>44</v>
      </c>
      <c r="K38" s="80">
        <f>Hist!K79</f>
        <v>46</v>
      </c>
      <c r="L38" s="49">
        <f t="shared" ref="L38:S38" si="22">K38+L39</f>
        <v>49</v>
      </c>
      <c r="M38" s="49">
        <f t="shared" si="22"/>
        <v>52</v>
      </c>
      <c r="N38" s="49">
        <f t="shared" si="22"/>
        <v>55</v>
      </c>
      <c r="O38" s="49">
        <f t="shared" si="22"/>
        <v>57</v>
      </c>
      <c r="P38" s="49">
        <f t="shared" si="22"/>
        <v>59</v>
      </c>
      <c r="Q38" s="49">
        <f t="shared" si="22"/>
        <v>61</v>
      </c>
      <c r="R38" s="49">
        <f t="shared" si="22"/>
        <v>62</v>
      </c>
      <c r="S38" s="49">
        <f t="shared" si="22"/>
        <v>63</v>
      </c>
    </row>
    <row r="39" spans="2:20" x14ac:dyDescent="0.35">
      <c r="B39" s="99" t="s">
        <v>445</v>
      </c>
      <c r="C39" s="59" t="s">
        <v>315</v>
      </c>
      <c r="F39" s="71">
        <f t="shared" ref="F39:K39" si="23">F38-E38</f>
        <v>0</v>
      </c>
      <c r="G39" s="71">
        <f t="shared" si="23"/>
        <v>1</v>
      </c>
      <c r="H39" s="71">
        <f t="shared" si="23"/>
        <v>7</v>
      </c>
      <c r="I39" s="71">
        <f t="shared" si="23"/>
        <v>2</v>
      </c>
      <c r="J39" s="71">
        <f t="shared" si="23"/>
        <v>2</v>
      </c>
      <c r="K39" s="71">
        <f t="shared" si="23"/>
        <v>2</v>
      </c>
      <c r="L39" s="100">
        <f>Drivers!L69</f>
        <v>3</v>
      </c>
      <c r="M39" s="100">
        <f>Drivers!M69</f>
        <v>3</v>
      </c>
      <c r="N39" s="100">
        <f>Drivers!N69</f>
        <v>3</v>
      </c>
      <c r="O39" s="100">
        <f>Drivers!O69</f>
        <v>2</v>
      </c>
      <c r="P39" s="100">
        <f>Drivers!P69</f>
        <v>2</v>
      </c>
      <c r="Q39" s="100">
        <f>Drivers!Q69</f>
        <v>2</v>
      </c>
      <c r="R39" s="100">
        <f>Drivers!R69</f>
        <v>1</v>
      </c>
      <c r="S39" s="100">
        <f>Drivers!S69</f>
        <v>1</v>
      </c>
    </row>
    <row r="40" spans="2:20" x14ac:dyDescent="0.35">
      <c r="B40" s="99" t="s">
        <v>446</v>
      </c>
      <c r="C40" s="59" t="s">
        <v>315</v>
      </c>
      <c r="E40" s="71">
        <f>0</f>
        <v>0</v>
      </c>
      <c r="F40" s="71">
        <f>0</f>
        <v>0</v>
      </c>
      <c r="G40" s="71">
        <f>0</f>
        <v>0</v>
      </c>
      <c r="H40" s="71">
        <f>0</f>
        <v>0</v>
      </c>
      <c r="I40" s="71">
        <f>0</f>
        <v>0</v>
      </c>
      <c r="J40" s="71">
        <f>0</f>
        <v>0</v>
      </c>
      <c r="K40" s="71">
        <f>0</f>
        <v>0</v>
      </c>
      <c r="L40" s="71">
        <f t="shared" ref="L40:S40" si="24">MAX(0,L39)</f>
        <v>3</v>
      </c>
      <c r="M40" s="71">
        <f t="shared" si="24"/>
        <v>3</v>
      </c>
      <c r="N40" s="71">
        <f t="shared" si="24"/>
        <v>3</v>
      </c>
      <c r="O40" s="71">
        <f t="shared" si="24"/>
        <v>2</v>
      </c>
      <c r="P40" s="71">
        <f t="shared" si="24"/>
        <v>2</v>
      </c>
      <c r="Q40" s="71">
        <f t="shared" si="24"/>
        <v>2</v>
      </c>
      <c r="R40" s="71">
        <f t="shared" si="24"/>
        <v>1</v>
      </c>
      <c r="S40" s="71">
        <f t="shared" si="24"/>
        <v>1</v>
      </c>
    </row>
    <row r="41" spans="2:20" x14ac:dyDescent="0.35">
      <c r="B41" s="40" t="s">
        <v>447</v>
      </c>
      <c r="C41" s="59" t="s">
        <v>315</v>
      </c>
      <c r="E41" s="48">
        <f t="shared" ref="E41:K41" si="25">E38</f>
        <v>32</v>
      </c>
      <c r="F41" s="48">
        <f t="shared" si="25"/>
        <v>32</v>
      </c>
      <c r="G41" s="48">
        <f t="shared" si="25"/>
        <v>33</v>
      </c>
      <c r="H41" s="48">
        <f t="shared" si="25"/>
        <v>40</v>
      </c>
      <c r="I41" s="48">
        <f t="shared" si="25"/>
        <v>42</v>
      </c>
      <c r="J41" s="48">
        <f t="shared" si="25"/>
        <v>44</v>
      </c>
      <c r="K41" s="48">
        <f t="shared" si="25"/>
        <v>46</v>
      </c>
      <c r="L41" s="48">
        <f>K41+MIN(0,L39)+L40*Drivers!$H$110+K40*(Drivers!$H$111-Drivers!$H$110)+J40*(Drivers!$H$112-Drivers!$H$111)+I40*(1-Drivers!$H$112)</f>
        <v>47.05</v>
      </c>
      <c r="M41" s="48">
        <f>L41+MIN(0,M39)+M40*Drivers!$H$110+L40*(Drivers!$H$111-Drivers!$H$110)+K40*(Drivers!$H$112-Drivers!$H$111)+J40*(1-Drivers!$H$112)</f>
        <v>49.3</v>
      </c>
      <c r="N41" s="48">
        <f>M41+MIN(0,N39)+N40*Drivers!$H$110+M40*(Drivers!$H$111-Drivers!$H$110)+L40*(Drivers!$H$112-Drivers!$H$111)+K40*(1-Drivers!$H$112)</f>
        <v>52.15</v>
      </c>
      <c r="O41" s="48">
        <f>N41+MIN(0,O39)+O40*Drivers!$H$110+N40*(Drivers!$H$111-Drivers!$H$110)+M40*(Drivers!$H$112-Drivers!$H$111)+L40*(1-Drivers!$H$112)</f>
        <v>54.800000000000004</v>
      </c>
      <c r="P41" s="48">
        <f>O41+MIN(0,P39)+P40*Drivers!$H$110+O40*(Drivers!$H$111-Drivers!$H$110)+N40*(Drivers!$H$112-Drivers!$H$111)+M40*(1-Drivers!$H$112)</f>
        <v>57.050000000000004</v>
      </c>
      <c r="Q41" s="48">
        <f>P41+MIN(0,Q39)+Q40*Drivers!$H$110+P40*(Drivers!$H$111-Drivers!$H$110)+O40*(Drivers!$H$112-Drivers!$H$111)+N40*(1-Drivers!$H$112)</f>
        <v>59.1</v>
      </c>
      <c r="R41" s="48">
        <f>Q41+MIN(0,R39)+R40*Drivers!$H$110+Q40*(Drivers!$H$111-Drivers!$H$110)+P40*(Drivers!$H$112-Drivers!$H$111)+O40*(1-Drivers!$H$112)</f>
        <v>60.75</v>
      </c>
      <c r="S41" s="48">
        <f>R41+MIN(0,S39)+S40*Drivers!$H$110+R40*(Drivers!$H$111-Drivers!$H$110)+Q40*(Drivers!$H$112-Drivers!$H$111)+P40*(1-Drivers!$H$112)</f>
        <v>62</v>
      </c>
    </row>
    <row r="42" spans="2:20" x14ac:dyDescent="0.35">
      <c r="B42" s="40" t="str">
        <f>"Volume per mature location ("&amp;Inputs!$C$76&amp;")"</f>
        <v>Volume per mature location (Customers ('000))</v>
      </c>
      <c r="C42" s="59" t="s">
        <v>315</v>
      </c>
      <c r="E42" s="74">
        <f t="shared" ref="E42:K42" si="26">IF(E38=0,0,E44/E38)</f>
        <v>3.6875</v>
      </c>
      <c r="F42" s="74">
        <f t="shared" si="26"/>
        <v>3.4375</v>
      </c>
      <c r="G42" s="74">
        <f t="shared" si="26"/>
        <v>3.5454545454545454</v>
      </c>
      <c r="H42" s="74">
        <f t="shared" si="26"/>
        <v>3.3</v>
      </c>
      <c r="I42" s="74">
        <f t="shared" si="26"/>
        <v>3.4047619047619047</v>
      </c>
      <c r="J42" s="74">
        <f t="shared" si="26"/>
        <v>3.4090909090909092</v>
      </c>
      <c r="K42" s="74">
        <f t="shared" si="26"/>
        <v>3.4347826086956523</v>
      </c>
      <c r="L42" s="74">
        <f>K42*(1+Drivers!L66)</f>
        <v>3.4863043478260867</v>
      </c>
      <c r="M42" s="74">
        <f>L42*(1+Drivers!M66)</f>
        <v>3.5351126086956519</v>
      </c>
      <c r="N42" s="74">
        <f>M42*(1+Drivers!N66)</f>
        <v>3.5775339599999998</v>
      </c>
      <c r="O42" s="74">
        <f>N42*(1+Drivers!O66)</f>
        <v>3.6133092996</v>
      </c>
      <c r="P42" s="74">
        <f>O42*(1+Drivers!P66)</f>
        <v>3.6458290832963995</v>
      </c>
      <c r="Q42" s="74">
        <f>P42*(1+Drivers!Q66)</f>
        <v>3.6749957159627709</v>
      </c>
      <c r="R42" s="74">
        <f>Q42*(1+Drivers!R66)</f>
        <v>3.6970456902585473</v>
      </c>
      <c r="S42" s="74">
        <f>R42*(1+Drivers!S66)</f>
        <v>3.7155309187098395</v>
      </c>
    </row>
    <row r="43" spans="2:20" x14ac:dyDescent="0.35">
      <c r="B43" s="99" t="s">
        <v>450</v>
      </c>
      <c r="C43" s="59" t="s">
        <v>323</v>
      </c>
      <c r="F43" s="69">
        <f t="shared" ref="F43:S43" si="27">IF(E42=0,0,F42/E42-1)</f>
        <v>-6.7796610169491567E-2</v>
      </c>
      <c r="G43" s="69">
        <f t="shared" si="27"/>
        <v>3.140495867768589E-2</v>
      </c>
      <c r="H43" s="69">
        <f t="shared" si="27"/>
        <v>-6.9230769230769318E-2</v>
      </c>
      <c r="I43" s="69">
        <f t="shared" si="27"/>
        <v>3.1746031746031855E-2</v>
      </c>
      <c r="J43" s="69">
        <f t="shared" si="27"/>
        <v>1.2714558169104606E-3</v>
      </c>
      <c r="K43" s="69">
        <f t="shared" si="27"/>
        <v>7.5362318840579423E-3</v>
      </c>
      <c r="L43" s="69">
        <f t="shared" si="27"/>
        <v>1.4999999999999902E-2</v>
      </c>
      <c r="M43" s="69">
        <f t="shared" si="27"/>
        <v>1.4000000000000012E-2</v>
      </c>
      <c r="N43" s="69">
        <f t="shared" si="27"/>
        <v>1.2000000000000011E-2</v>
      </c>
      <c r="O43" s="69">
        <f t="shared" si="27"/>
        <v>1.0000000000000009E-2</v>
      </c>
      <c r="P43" s="69">
        <f t="shared" si="27"/>
        <v>8.999999999999897E-3</v>
      </c>
      <c r="Q43" s="69">
        <f t="shared" si="27"/>
        <v>8.0000000000000071E-3</v>
      </c>
      <c r="R43" s="69">
        <f t="shared" si="27"/>
        <v>6.0000000000000053E-3</v>
      </c>
      <c r="S43" s="69">
        <f t="shared" si="27"/>
        <v>4.9999999999998934E-3</v>
      </c>
    </row>
    <row r="44" spans="2:20" x14ac:dyDescent="0.35">
      <c r="B44" s="40" t="str">
        <f>"Volume ("&amp;Inputs!$C$76&amp;")"</f>
        <v>Volume (Customers ('000))</v>
      </c>
      <c r="C44" s="59" t="s">
        <v>315</v>
      </c>
      <c r="E44" s="101">
        <f>Hist!E76</f>
        <v>118</v>
      </c>
      <c r="F44" s="101">
        <f>Hist!F76</f>
        <v>110</v>
      </c>
      <c r="G44" s="101">
        <f>Hist!G76</f>
        <v>117</v>
      </c>
      <c r="H44" s="101">
        <f>Hist!H76</f>
        <v>132</v>
      </c>
      <c r="I44" s="101">
        <f>Hist!I76</f>
        <v>143</v>
      </c>
      <c r="J44" s="101">
        <f>Hist!J76</f>
        <v>150</v>
      </c>
      <c r="K44" s="101">
        <f>Hist!K76</f>
        <v>158</v>
      </c>
      <c r="L44" s="48">
        <f>IF(Inputs!$C$72=2,L41*L42,K44*(1+Drivers!L62))</f>
        <v>164.03061956521736</v>
      </c>
      <c r="M44" s="48">
        <f>IF(Inputs!$C$72=2,M41*M42,L44*(1+Drivers!M62))</f>
        <v>174.28105160869563</v>
      </c>
      <c r="N44" s="48">
        <f>IF(Inputs!$C$72=2,N41*N42,M44*(1+Drivers!N62))</f>
        <v>186.56839601399997</v>
      </c>
      <c r="O44" s="48">
        <f>IF(Inputs!$C$72=2,O41*O42,N44*(1+Drivers!O62))</f>
        <v>198.00934961808002</v>
      </c>
      <c r="P44" s="48">
        <f>IF(Inputs!$C$72=2,P41*P42,O44*(1+Drivers!P62))</f>
        <v>207.9945492020596</v>
      </c>
      <c r="Q44" s="48">
        <f>IF(Inputs!$C$72=2,Q41*Q42,P44*(1+Drivers!Q62))</f>
        <v>217.19224681339978</v>
      </c>
      <c r="R44" s="48">
        <f>IF(Inputs!$C$72=2,R41*R42,Q44*(1+Drivers!R62))</f>
        <v>224.59552568320674</v>
      </c>
      <c r="S44" s="48">
        <f>IF(Inputs!$C$72=2,S41*S42,R44*(1+Drivers!S62))</f>
        <v>230.36291696001004</v>
      </c>
    </row>
    <row r="45" spans="2:20" x14ac:dyDescent="0.35">
      <c r="B45" s="99" t="s">
        <v>452</v>
      </c>
      <c r="C45" s="59" t="s">
        <v>323</v>
      </c>
      <c r="F45" s="69">
        <f t="shared" ref="F45:S45" si="28">F44/E44-1</f>
        <v>-6.7796610169491567E-2</v>
      </c>
      <c r="G45" s="69">
        <f t="shared" si="28"/>
        <v>6.3636363636363713E-2</v>
      </c>
      <c r="H45" s="69">
        <f t="shared" si="28"/>
        <v>0.12820512820512819</v>
      </c>
      <c r="I45" s="69">
        <f t="shared" si="28"/>
        <v>8.3333333333333259E-2</v>
      </c>
      <c r="J45" s="69">
        <f t="shared" si="28"/>
        <v>4.8951048951048959E-2</v>
      </c>
      <c r="K45" s="69">
        <f t="shared" si="28"/>
        <v>5.3333333333333233E-2</v>
      </c>
      <c r="L45" s="69">
        <f t="shared" si="28"/>
        <v>3.8168478260869332E-2</v>
      </c>
      <c r="M45" s="69">
        <f t="shared" si="28"/>
        <v>6.2490967056323177E-2</v>
      </c>
      <c r="N45" s="69">
        <f t="shared" si="28"/>
        <v>7.0503042596348875E-2</v>
      </c>
      <c r="O45" s="69">
        <f t="shared" si="28"/>
        <v>6.1323106423777807E-2</v>
      </c>
      <c r="P45" s="69">
        <f t="shared" si="28"/>
        <v>5.0427919708029068E-2</v>
      </c>
      <c r="Q45" s="69">
        <f t="shared" si="28"/>
        <v>4.4220858895705595E-2</v>
      </c>
      <c r="R45" s="69">
        <f t="shared" si="28"/>
        <v>3.4086294416243446E-2</v>
      </c>
      <c r="S45" s="69">
        <f t="shared" si="28"/>
        <v>2.5679012345678931E-2</v>
      </c>
    </row>
    <row r="46" spans="2:20" x14ac:dyDescent="0.35">
      <c r="B46" s="40" t="s">
        <v>453</v>
      </c>
      <c r="C46" s="59" t="s">
        <v>324</v>
      </c>
      <c r="E46" s="74">
        <f t="shared" ref="E46:S46" si="29">IF(E44=0,0,E48/E44)</f>
        <v>5.0847457627118642</v>
      </c>
      <c r="F46" s="74">
        <f t="shared" si="29"/>
        <v>4.9818181818181815</v>
      </c>
      <c r="G46" s="74">
        <f t="shared" si="29"/>
        <v>5.1111111111111107</v>
      </c>
      <c r="H46" s="74">
        <f t="shared" si="29"/>
        <v>5.3939393939393936</v>
      </c>
      <c r="I46" s="74">
        <f t="shared" si="29"/>
        <v>5.6083916083916083</v>
      </c>
      <c r="J46" s="74">
        <f t="shared" si="29"/>
        <v>5.833333333333333</v>
      </c>
      <c r="K46" s="74">
        <f t="shared" si="29"/>
        <v>6.0632911392405067</v>
      </c>
      <c r="L46" s="74">
        <f t="shared" si="29"/>
        <v>6.245189873417722</v>
      </c>
      <c r="M46" s="74">
        <f t="shared" si="29"/>
        <v>6.4200551898734179</v>
      </c>
      <c r="N46" s="74">
        <f t="shared" si="29"/>
        <v>6.5933966799999997</v>
      </c>
      <c r="O46" s="74">
        <f t="shared" si="29"/>
        <v>6.7648249936799996</v>
      </c>
      <c r="P46" s="74">
        <f t="shared" si="29"/>
        <v>6.9339456185219985</v>
      </c>
      <c r="Q46" s="74">
        <f t="shared" si="29"/>
        <v>7.1003603133665258</v>
      </c>
      <c r="R46" s="74">
        <f t="shared" si="29"/>
        <v>7.2636686005739559</v>
      </c>
      <c r="S46" s="74">
        <f t="shared" si="29"/>
        <v>7.423469309786582</v>
      </c>
    </row>
    <row r="47" spans="2:20" x14ac:dyDescent="0.35">
      <c r="B47" s="99" t="s">
        <v>454</v>
      </c>
      <c r="C47" s="59" t="s">
        <v>323</v>
      </c>
      <c r="F47" s="69">
        <f t="shared" ref="F47:S47" si="30">(1+F49)/(1+F45)-1</f>
        <v>-2.0242424242424173E-2</v>
      </c>
      <c r="G47" s="69">
        <f t="shared" si="30"/>
        <v>2.5952960259529645E-2</v>
      </c>
      <c r="H47" s="69">
        <f t="shared" si="30"/>
        <v>5.5335968379446765E-2</v>
      </c>
      <c r="I47" s="69">
        <f t="shared" si="30"/>
        <v>3.9757994814174635E-2</v>
      </c>
      <c r="J47" s="69">
        <f t="shared" si="30"/>
        <v>4.0108063175394726E-2</v>
      </c>
      <c r="K47" s="69">
        <f t="shared" si="30"/>
        <v>3.9421338155515295E-2</v>
      </c>
      <c r="L47" s="69">
        <f t="shared" si="30"/>
        <v>3.0000000000000027E-2</v>
      </c>
      <c r="M47" s="69">
        <f t="shared" si="30"/>
        <v>2.7999999999999803E-2</v>
      </c>
      <c r="N47" s="69">
        <f t="shared" si="30"/>
        <v>2.6999999999999913E-2</v>
      </c>
      <c r="O47" s="69">
        <f t="shared" si="30"/>
        <v>2.6000000000000023E-2</v>
      </c>
      <c r="P47" s="69">
        <f t="shared" si="30"/>
        <v>2.4999999999999689E-2</v>
      </c>
      <c r="Q47" s="69">
        <f t="shared" si="30"/>
        <v>2.4000000000000021E-2</v>
      </c>
      <c r="R47" s="69">
        <f t="shared" si="30"/>
        <v>2.2999999999999909E-2</v>
      </c>
      <c r="S47" s="69">
        <f t="shared" si="30"/>
        <v>2.1999999999999797E-2</v>
      </c>
    </row>
    <row r="48" spans="2:20" x14ac:dyDescent="0.35">
      <c r="B48" s="61" t="s">
        <v>455</v>
      </c>
      <c r="C48" s="62" t="s">
        <v>167</v>
      </c>
      <c r="D48" s="63"/>
      <c r="E48" s="102">
        <f>Hist!E11</f>
        <v>600</v>
      </c>
      <c r="F48" s="102">
        <f>Hist!F11</f>
        <v>548</v>
      </c>
      <c r="G48" s="102">
        <f>Hist!G11</f>
        <v>598</v>
      </c>
      <c r="H48" s="102">
        <f>Hist!H11</f>
        <v>712</v>
      </c>
      <c r="I48" s="102">
        <f>Hist!I11</f>
        <v>802</v>
      </c>
      <c r="J48" s="102">
        <f>Hist!J11</f>
        <v>875</v>
      </c>
      <c r="K48" s="102">
        <f>Hist!K11</f>
        <v>958</v>
      </c>
      <c r="L48" s="64">
        <f>IF(K44=0,K48*(1+Drivers!L62),K48*L44/K44)*(1+Drivers!L63)</f>
        <v>1024.4023642391303</v>
      </c>
      <c r="M48" s="64">
        <f>IF(L44=0,L48*(1+Drivers!M62),L48*M44/L44)*(1+Drivers!M63)</f>
        <v>1118.8939698770034</v>
      </c>
      <c r="N48" s="64">
        <f>IF(M44=0,M48*(1+Drivers!N62),M48*N44/M44)*(1+Drivers!N63)</f>
        <v>1230.1194428716326</v>
      </c>
      <c r="O48" s="64">
        <f>IF(N44=0,N48*(1+Drivers!O62),N48*O44/N44)*(1+Drivers!O63)</f>
        <v>1339.498597278709</v>
      </c>
      <c r="P48" s="64">
        <f>IF(O44=0,O48*(1+Drivers!P62),O48*P44/O44)*(1+Drivers!P63)</f>
        <v>1442.2228931160794</v>
      </c>
      <c r="Q48" s="64">
        <f>IF(P44=0,P48*(1+Drivers!Q62),P48*Q44/P44)*(1+Drivers!Q63)</f>
        <v>1542.1432096447711</v>
      </c>
      <c r="R48" s="64">
        <f>IF(Q44=0,Q48*(1+Drivers!R62),Q48*R44/Q44)*(1+Drivers!R63)</f>
        <v>1631.3874677345102</v>
      </c>
      <c r="S48" s="64">
        <f>IF(R44=0,R48*(1+Drivers!S62),R48*S44/R44)*(1+Drivers!S63)</f>
        <v>1710.0920441655494</v>
      </c>
      <c r="T48" s="63"/>
    </row>
    <row r="49" spans="2:22" x14ac:dyDescent="0.35">
      <c r="B49" s="99" t="s">
        <v>322</v>
      </c>
      <c r="C49" s="59" t="s">
        <v>323</v>
      </c>
      <c r="F49" s="69">
        <f t="shared" ref="F49:S49" si="31">F48/E48-1</f>
        <v>-8.666666666666667E-2</v>
      </c>
      <c r="G49" s="69">
        <f t="shared" si="31"/>
        <v>9.1240875912408814E-2</v>
      </c>
      <c r="H49" s="69">
        <f t="shared" si="31"/>
        <v>0.19063545150501682</v>
      </c>
      <c r="I49" s="69">
        <f t="shared" si="31"/>
        <v>0.12640449438202239</v>
      </c>
      <c r="J49" s="69">
        <f t="shared" si="31"/>
        <v>9.1022443890274252E-2</v>
      </c>
      <c r="K49" s="69">
        <f t="shared" si="31"/>
        <v>9.4857142857142751E-2</v>
      </c>
      <c r="L49" s="69">
        <f t="shared" si="31"/>
        <v>6.9313532608695549E-2</v>
      </c>
      <c r="M49" s="69">
        <f t="shared" si="31"/>
        <v>9.2240714133900115E-2</v>
      </c>
      <c r="N49" s="69">
        <f t="shared" si="31"/>
        <v>9.9406624746450234E-2</v>
      </c>
      <c r="O49" s="69">
        <f t="shared" si="31"/>
        <v>8.8917507190795941E-2</v>
      </c>
      <c r="P49" s="69">
        <f t="shared" si="31"/>
        <v>7.6688617700729544E-2</v>
      </c>
      <c r="Q49" s="69">
        <f t="shared" si="31"/>
        <v>6.9282159509202579E-2</v>
      </c>
      <c r="R49" s="69">
        <f t="shared" si="31"/>
        <v>5.7870279187816953E-2</v>
      </c>
      <c r="S49" s="69">
        <f t="shared" si="31"/>
        <v>4.8243950617283593E-2</v>
      </c>
    </row>
    <row r="50" spans="2:22" ht="8" customHeight="1" x14ac:dyDescent="0.35"/>
    <row r="51" spans="2:22" x14ac:dyDescent="0.35">
      <c r="B51" s="18" t="s">
        <v>456</v>
      </c>
      <c r="C51" s="85"/>
      <c r="D51" s="85"/>
      <c r="E51" s="85"/>
      <c r="F51" s="85"/>
      <c r="G51" s="85"/>
      <c r="H51" s="85"/>
      <c r="I51" s="85"/>
      <c r="J51" s="85"/>
      <c r="K51" s="85"/>
      <c r="L51" s="85"/>
      <c r="M51" s="85"/>
      <c r="N51" s="85"/>
      <c r="O51" s="85"/>
      <c r="P51" s="85"/>
      <c r="Q51" s="85"/>
      <c r="R51" s="85"/>
      <c r="S51" s="85"/>
      <c r="T51" s="85"/>
    </row>
    <row r="52" spans="2:22" x14ac:dyDescent="0.35">
      <c r="B52" s="11" t="s">
        <v>444</v>
      </c>
      <c r="C52" s="59" t="s">
        <v>315</v>
      </c>
      <c r="E52" s="51">
        <f t="shared" ref="E52:S52" si="32">E10+E24+E38</f>
        <v>182</v>
      </c>
      <c r="F52" s="51">
        <f t="shared" si="32"/>
        <v>184</v>
      </c>
      <c r="G52" s="51">
        <f t="shared" si="32"/>
        <v>188</v>
      </c>
      <c r="H52" s="51">
        <f t="shared" si="32"/>
        <v>201</v>
      </c>
      <c r="I52" s="51">
        <f t="shared" si="32"/>
        <v>206</v>
      </c>
      <c r="J52" s="51">
        <f t="shared" si="32"/>
        <v>211</v>
      </c>
      <c r="K52" s="51">
        <f t="shared" si="32"/>
        <v>217</v>
      </c>
      <c r="L52" s="51">
        <f t="shared" si="32"/>
        <v>224</v>
      </c>
      <c r="M52" s="51">
        <f t="shared" si="32"/>
        <v>231</v>
      </c>
      <c r="N52" s="51">
        <f t="shared" si="32"/>
        <v>238</v>
      </c>
      <c r="O52" s="51">
        <f t="shared" si="32"/>
        <v>244</v>
      </c>
      <c r="P52" s="51">
        <f t="shared" si="32"/>
        <v>249</v>
      </c>
      <c r="Q52" s="51">
        <f t="shared" si="32"/>
        <v>253</v>
      </c>
      <c r="R52" s="51">
        <f t="shared" si="32"/>
        <v>256</v>
      </c>
      <c r="S52" s="51">
        <f t="shared" si="32"/>
        <v>259</v>
      </c>
    </row>
    <row r="53" spans="2:22" x14ac:dyDescent="0.35">
      <c r="B53" s="99" t="s">
        <v>457</v>
      </c>
      <c r="C53" s="59" t="s">
        <v>315</v>
      </c>
      <c r="E53" s="71">
        <f>0</f>
        <v>0</v>
      </c>
      <c r="F53" s="71">
        <f>0</f>
        <v>0</v>
      </c>
      <c r="G53" s="71">
        <f>0</f>
        <v>0</v>
      </c>
      <c r="H53" s="71">
        <f>0</f>
        <v>0</v>
      </c>
      <c r="I53" s="71">
        <f>0</f>
        <v>0</v>
      </c>
      <c r="J53" s="71">
        <f>0</f>
        <v>0</v>
      </c>
      <c r="K53" s="71">
        <f>0</f>
        <v>0</v>
      </c>
      <c r="L53" s="71">
        <f t="shared" ref="L53:S53" si="33">L12+L26+L40</f>
        <v>7</v>
      </c>
      <c r="M53" s="71">
        <f t="shared" si="33"/>
        <v>7</v>
      </c>
      <c r="N53" s="71">
        <f t="shared" si="33"/>
        <v>7</v>
      </c>
      <c r="O53" s="71">
        <f t="shared" si="33"/>
        <v>6</v>
      </c>
      <c r="P53" s="71">
        <f t="shared" si="33"/>
        <v>5</v>
      </c>
      <c r="Q53" s="71">
        <f t="shared" si="33"/>
        <v>4</v>
      </c>
      <c r="R53" s="71">
        <f t="shared" si="33"/>
        <v>3</v>
      </c>
      <c r="S53" s="71">
        <f t="shared" si="33"/>
        <v>3</v>
      </c>
    </row>
    <row r="54" spans="2:22" x14ac:dyDescent="0.35">
      <c r="B54" s="40" t="s">
        <v>458</v>
      </c>
      <c r="C54" s="59" t="s">
        <v>315</v>
      </c>
      <c r="F54" s="48">
        <f t="shared" ref="F54:S54" si="34">AVERAGE(E52,F52)</f>
        <v>183</v>
      </c>
      <c r="G54" s="48">
        <f t="shared" si="34"/>
        <v>186</v>
      </c>
      <c r="H54" s="48">
        <f t="shared" si="34"/>
        <v>194.5</v>
      </c>
      <c r="I54" s="48">
        <f t="shared" si="34"/>
        <v>203.5</v>
      </c>
      <c r="J54" s="48">
        <f t="shared" si="34"/>
        <v>208.5</v>
      </c>
      <c r="K54" s="48">
        <f t="shared" si="34"/>
        <v>214</v>
      </c>
      <c r="L54" s="48">
        <f t="shared" si="34"/>
        <v>220.5</v>
      </c>
      <c r="M54" s="48">
        <f t="shared" si="34"/>
        <v>227.5</v>
      </c>
      <c r="N54" s="48">
        <f t="shared" si="34"/>
        <v>234.5</v>
      </c>
      <c r="O54" s="48">
        <f t="shared" si="34"/>
        <v>241</v>
      </c>
      <c r="P54" s="48">
        <f t="shared" si="34"/>
        <v>246.5</v>
      </c>
      <c r="Q54" s="48">
        <f t="shared" si="34"/>
        <v>251</v>
      </c>
      <c r="R54" s="48">
        <f t="shared" si="34"/>
        <v>254.5</v>
      </c>
      <c r="S54" s="48">
        <f t="shared" si="34"/>
        <v>257.5</v>
      </c>
    </row>
    <row r="55" spans="2:22" x14ac:dyDescent="0.35">
      <c r="B55" s="99" t="s">
        <v>459</v>
      </c>
      <c r="C55" s="59" t="s">
        <v>323</v>
      </c>
      <c r="G55" s="69">
        <f t="shared" ref="G55:S55" si="35">G54/F54-1</f>
        <v>1.6393442622950838E-2</v>
      </c>
      <c r="H55" s="69">
        <f t="shared" si="35"/>
        <v>4.5698924731182755E-2</v>
      </c>
      <c r="I55" s="69">
        <f t="shared" si="35"/>
        <v>4.6272493573264795E-2</v>
      </c>
      <c r="J55" s="69">
        <f t="shared" si="35"/>
        <v>2.4570024570024662E-2</v>
      </c>
      <c r="K55" s="69">
        <f t="shared" si="35"/>
        <v>2.6378896882494063E-2</v>
      </c>
      <c r="L55" s="69">
        <f t="shared" si="35"/>
        <v>3.0373831775700966E-2</v>
      </c>
      <c r="M55" s="69">
        <f t="shared" si="35"/>
        <v>3.1746031746031855E-2</v>
      </c>
      <c r="N55" s="69">
        <f t="shared" si="35"/>
        <v>3.076923076923066E-2</v>
      </c>
      <c r="O55" s="69">
        <f t="shared" si="35"/>
        <v>2.771855010660973E-2</v>
      </c>
      <c r="P55" s="69">
        <f t="shared" si="35"/>
        <v>2.2821576763485396E-2</v>
      </c>
      <c r="Q55" s="69">
        <f t="shared" si="35"/>
        <v>1.8255578093306246E-2</v>
      </c>
      <c r="R55" s="69">
        <f t="shared" si="35"/>
        <v>1.3944223107569709E-2</v>
      </c>
      <c r="S55" s="69">
        <f t="shared" si="35"/>
        <v>1.1787819253438192E-2</v>
      </c>
      <c r="V55" s="15" t="s">
        <v>460</v>
      </c>
    </row>
    <row r="56" spans="2:22" x14ac:dyDescent="0.35">
      <c r="B56" s="40" t="s">
        <v>461</v>
      </c>
      <c r="C56" s="59" t="s">
        <v>167</v>
      </c>
      <c r="F56" s="48">
        <f t="shared" ref="F56:S56" si="36">IF(F54=0,0,F58/F54)</f>
        <v>18.950819672131146</v>
      </c>
      <c r="G56" s="48">
        <f t="shared" si="36"/>
        <v>19.72043010752688</v>
      </c>
      <c r="H56" s="48">
        <f t="shared" si="36"/>
        <v>21.912596401028278</v>
      </c>
      <c r="I56" s="48">
        <f t="shared" si="36"/>
        <v>23.031941031941031</v>
      </c>
      <c r="J56" s="48">
        <f t="shared" si="36"/>
        <v>24.196642685851319</v>
      </c>
      <c r="K56" s="48">
        <f t="shared" si="36"/>
        <v>25.38785046728972</v>
      </c>
      <c r="L56" s="48">
        <f t="shared" si="36"/>
        <v>25.970285529016877</v>
      </c>
      <c r="M56" s="48">
        <f t="shared" si="36"/>
        <v>26.742165804803705</v>
      </c>
      <c r="N56" s="48">
        <f t="shared" si="36"/>
        <v>27.629117943315389</v>
      </c>
      <c r="O56" s="48">
        <f t="shared" si="36"/>
        <v>28.53064346168636</v>
      </c>
      <c r="P56" s="48">
        <f t="shared" si="36"/>
        <v>29.443972098690782</v>
      </c>
      <c r="Q56" s="48">
        <f t="shared" si="36"/>
        <v>30.331910199473704</v>
      </c>
      <c r="R56" s="48">
        <f t="shared" si="36"/>
        <v>31.193801983360153</v>
      </c>
      <c r="S56" s="48">
        <f t="shared" si="36"/>
        <v>32.016211705601656</v>
      </c>
    </row>
    <row r="57" spans="2:22" ht="8" customHeight="1" x14ac:dyDescent="0.35"/>
    <row r="58" spans="2:22" x14ac:dyDescent="0.35">
      <c r="B58" s="103" t="s">
        <v>264</v>
      </c>
      <c r="C58" s="104" t="s">
        <v>167</v>
      </c>
      <c r="D58" s="105"/>
      <c r="E58" s="106">
        <f t="shared" ref="E58:S58" si="37">E20+E34+E48</f>
        <v>3790</v>
      </c>
      <c r="F58" s="106">
        <f t="shared" si="37"/>
        <v>3468</v>
      </c>
      <c r="G58" s="106">
        <f t="shared" si="37"/>
        <v>3668</v>
      </c>
      <c r="H58" s="106">
        <f t="shared" si="37"/>
        <v>4262</v>
      </c>
      <c r="I58" s="106">
        <f t="shared" si="37"/>
        <v>4687</v>
      </c>
      <c r="J58" s="106">
        <f t="shared" si="37"/>
        <v>5045</v>
      </c>
      <c r="K58" s="106">
        <f t="shared" si="37"/>
        <v>5433</v>
      </c>
      <c r="L58" s="106">
        <f t="shared" si="37"/>
        <v>5726.4479591482213</v>
      </c>
      <c r="M58" s="106">
        <f t="shared" si="37"/>
        <v>6083.8427205928429</v>
      </c>
      <c r="N58" s="106">
        <f t="shared" si="37"/>
        <v>6479.0281577074584</v>
      </c>
      <c r="O58" s="106">
        <f t="shared" si="37"/>
        <v>6875.8850742664126</v>
      </c>
      <c r="P58" s="106">
        <f t="shared" si="37"/>
        <v>7257.9391223272778</v>
      </c>
      <c r="Q58" s="106">
        <f t="shared" si="37"/>
        <v>7613.3094600678996</v>
      </c>
      <c r="R58" s="106">
        <f t="shared" si="37"/>
        <v>7938.8226047651588</v>
      </c>
      <c r="S58" s="106">
        <f t="shared" si="37"/>
        <v>8244.1745141924257</v>
      </c>
      <c r="T58" s="105"/>
    </row>
    <row r="59" spans="2:22" x14ac:dyDescent="0.35">
      <c r="B59" s="65" t="s">
        <v>322</v>
      </c>
      <c r="C59" s="59" t="s">
        <v>323</v>
      </c>
      <c r="F59" s="69">
        <f t="shared" ref="F59:S59" si="38">F58/E58-1</f>
        <v>-8.4960422163588345E-2</v>
      </c>
      <c r="G59" s="69">
        <f t="shared" si="38"/>
        <v>5.7670126874279193E-2</v>
      </c>
      <c r="H59" s="69">
        <f t="shared" si="38"/>
        <v>0.16194111232279162</v>
      </c>
      <c r="I59" s="69">
        <f t="shared" si="38"/>
        <v>9.9718442045987787E-2</v>
      </c>
      <c r="J59" s="69">
        <f t="shared" si="38"/>
        <v>7.6381480691273707E-2</v>
      </c>
      <c r="K59" s="69">
        <f t="shared" si="38"/>
        <v>7.6907829534192285E-2</v>
      </c>
      <c r="L59" s="69">
        <f t="shared" si="38"/>
        <v>5.4012140465345304E-2</v>
      </c>
      <c r="M59" s="69">
        <f t="shared" si="38"/>
        <v>6.2411247599599706E-2</v>
      </c>
      <c r="N59" s="69">
        <f t="shared" si="38"/>
        <v>6.4956550532934587E-2</v>
      </c>
      <c r="O59" s="69">
        <f t="shared" si="38"/>
        <v>6.1252537710744903E-2</v>
      </c>
      <c r="P59" s="69">
        <f t="shared" si="38"/>
        <v>5.5564344652986541E-2</v>
      </c>
      <c r="Q59" s="69">
        <f t="shared" si="38"/>
        <v>4.8962981329977229E-2</v>
      </c>
      <c r="R59" s="69">
        <f t="shared" si="38"/>
        <v>4.2755801061888699E-2</v>
      </c>
      <c r="S59" s="69">
        <f t="shared" si="38"/>
        <v>3.846312288726339E-2</v>
      </c>
    </row>
    <row r="60" spans="2:22" x14ac:dyDescent="0.35">
      <c r="B60" s="99" t="s">
        <v>462</v>
      </c>
      <c r="C60" s="59" t="s">
        <v>323</v>
      </c>
      <c r="F60" s="69">
        <f t="shared" ref="F60:S60" si="39">(E20*F17+E34*F31+E48*F45)/E58</f>
        <v>-6.6278498670539338E-2</v>
      </c>
      <c r="G60" s="69">
        <f t="shared" si="39"/>
        <v>3.5508910645896986E-2</v>
      </c>
      <c r="H60" s="69">
        <f t="shared" si="39"/>
        <v>0.11026524640033601</v>
      </c>
      <c r="I60" s="69">
        <f t="shared" si="39"/>
        <v>5.063324607084109E-2</v>
      </c>
      <c r="J60" s="69">
        <f t="shared" si="39"/>
        <v>3.0697769368333929E-2</v>
      </c>
      <c r="K60" s="69">
        <f t="shared" si="39"/>
        <v>3.2636411550758124E-2</v>
      </c>
      <c r="L60" s="69">
        <f t="shared" si="39"/>
        <v>2.0709942543939572E-2</v>
      </c>
      <c r="M60" s="69">
        <f t="shared" si="39"/>
        <v>3.1836296027758421E-2</v>
      </c>
      <c r="N60" s="69">
        <f t="shared" si="39"/>
        <v>3.6141468181906819E-2</v>
      </c>
      <c r="O60" s="69">
        <f t="shared" si="39"/>
        <v>3.4359198548484231E-2</v>
      </c>
      <c r="P60" s="69">
        <f t="shared" si="39"/>
        <v>2.9818872832182132E-2</v>
      </c>
      <c r="Q60" s="69">
        <f t="shared" si="39"/>
        <v>2.4377911455055919E-2</v>
      </c>
      <c r="R60" s="69">
        <f t="shared" si="39"/>
        <v>1.9311633491582426E-2</v>
      </c>
      <c r="S60" s="69">
        <f t="shared" si="39"/>
        <v>1.6108730809455581E-2</v>
      </c>
    </row>
    <row r="61" spans="2:22" x14ac:dyDescent="0.35">
      <c r="B61" s="107" t="s">
        <v>463</v>
      </c>
      <c r="C61" s="59" t="s">
        <v>323</v>
      </c>
      <c r="F61" s="69">
        <f t="shared" ref="F61:K61" si="40">(IF(E10=0,0,E20*(F10/E10-1))+IF(E24=0,0,E34*(F24/E24-1))+IF(E38=0,0,E48*(F38/E38-1)))/E58</f>
        <v>1.1085958290903711E-2</v>
      </c>
      <c r="G61" s="69">
        <f t="shared" si="40"/>
        <v>2.2097561048063735E-2</v>
      </c>
      <c r="H61" s="69">
        <f t="shared" si="40"/>
        <v>6.6576179396116611E-2</v>
      </c>
      <c r="I61" s="69">
        <f t="shared" si="40"/>
        <v>2.308493255874712E-2</v>
      </c>
      <c r="J61" s="69">
        <f t="shared" si="40"/>
        <v>2.376248044663918E-2</v>
      </c>
      <c r="K61" s="69">
        <f t="shared" si="40"/>
        <v>2.8595250662435498E-2</v>
      </c>
      <c r="L61" s="69">
        <f>IF(Inputs!$C$72=2,(IF(K13=0,0,K20*(L13/K13-1))+IF(K27=0,0,K34*(L27/K27-1))+IF(K41=0,0,K48*(L41/K41-1)))/K58,0)</f>
        <v>1.0698799728554659E-2</v>
      </c>
      <c r="M61" s="69">
        <f>IF(Inputs!$C$72=2,(IF(L13=0,0,L20*(M13/L13-1))+IF(L27=0,0,L34*(M27/L27-1))+IF(L41=0,0,L48*(M41/L41-1)))/L58,0)</f>
        <v>2.2696934188118734E-2</v>
      </c>
      <c r="N61" s="69">
        <f>IF(Inputs!$C$72=2,(IF(M13=0,0,M20*(N13/M13-1))+IF(M27=0,0,M34*(N27/M27-1))+IF(M41=0,0,M48*(N41/M41-1)))/M58,0)</f>
        <v>2.8135888645788719E-2</v>
      </c>
      <c r="O61" s="69">
        <f>IF(Inputs!$C$72=2,(IF(N13=0,0,N20*(O13/N13-1))+IF(N27=0,0,N34*(O27/N27-1))+IF(N41=0,0,N48*(O41/N41-1)))/N58,0)</f>
        <v>2.7556368273978376E-2</v>
      </c>
      <c r="P61" s="69">
        <f>IF(Inputs!$C$72=2,(IF(O13=0,0,O20*(P13/O13-1))+IF(O27=0,0,O34*(P27/O27-1))+IF(O41=0,0,O48*(P41/O41-1)))/O58,0)</f>
        <v>2.4045892554278712E-2</v>
      </c>
      <c r="Q61" s="69">
        <f>IF(Inputs!$C$72=2,(IF(P13=0,0,P20*(Q13/P13-1))+IF(P27=0,0,P34*(Q27/P27-1))+IF(P41=0,0,P48*(Q41/P41-1)))/P58,0)</f>
        <v>1.9632794723265616E-2</v>
      </c>
      <c r="R61" s="69">
        <f>IF(Inputs!$C$72=2,(IF(Q13=0,0,Q20*(R13/Q13-1))+IF(Q27=0,0,Q34*(R27/Q27-1))+IF(Q41=0,0,Q48*(R41/Q41-1)))/Q58,0)</f>
        <v>1.5314841842729797E-2</v>
      </c>
      <c r="S61" s="69">
        <f>IF(Inputs!$C$72=2,(IF(R13=0,0,R20*(S13/R13-1))+IF(R27=0,0,R34*(S27/R27-1))+IF(R41=0,0,R48*(S41/R41-1)))/R58,0)</f>
        <v>1.265133046085028E-2</v>
      </c>
      <c r="V61" s="15" t="s">
        <v>464</v>
      </c>
    </row>
    <row r="62" spans="2:22" x14ac:dyDescent="0.35">
      <c r="B62" s="107" t="s">
        <v>465</v>
      </c>
      <c r="C62" s="59" t="s">
        <v>323</v>
      </c>
      <c r="F62" s="69">
        <f t="shared" ref="F62:S62" si="41">F60-F61</f>
        <v>-7.7364456961443048E-2</v>
      </c>
      <c r="G62" s="69">
        <f t="shared" si="41"/>
        <v>1.3411349597833251E-2</v>
      </c>
      <c r="H62" s="69">
        <f t="shared" si="41"/>
        <v>4.3689067004219401E-2</v>
      </c>
      <c r="I62" s="69">
        <f t="shared" si="41"/>
        <v>2.7548313512093969E-2</v>
      </c>
      <c r="J62" s="69">
        <f t="shared" si="41"/>
        <v>6.9352889216947496E-3</v>
      </c>
      <c r="K62" s="69">
        <f t="shared" si="41"/>
        <v>4.0411608883226258E-3</v>
      </c>
      <c r="L62" s="69">
        <f t="shared" si="41"/>
        <v>1.0011142815384913E-2</v>
      </c>
      <c r="M62" s="69">
        <f t="shared" si="41"/>
        <v>9.1393618396396863E-3</v>
      </c>
      <c r="N62" s="69">
        <f t="shared" si="41"/>
        <v>8.0055795361181001E-3</v>
      </c>
      <c r="O62" s="69">
        <f t="shared" si="41"/>
        <v>6.8028302745058548E-3</v>
      </c>
      <c r="P62" s="69">
        <f t="shared" si="41"/>
        <v>5.7729802779034195E-3</v>
      </c>
      <c r="Q62" s="69">
        <f t="shared" si="41"/>
        <v>4.7451167317903026E-3</v>
      </c>
      <c r="R62" s="69">
        <f t="shared" si="41"/>
        <v>3.9967916488526292E-3</v>
      </c>
      <c r="S62" s="69">
        <f t="shared" si="41"/>
        <v>3.4574003486053002E-3</v>
      </c>
    </row>
    <row r="63" spans="2:22" x14ac:dyDescent="0.35">
      <c r="B63" s="99" t="s">
        <v>466</v>
      </c>
      <c r="C63" s="59" t="s">
        <v>323</v>
      </c>
      <c r="F63" s="69">
        <f t="shared" ref="F63:S63" si="42">F59-F60</f>
        <v>-1.8681923493049007E-2</v>
      </c>
      <c r="G63" s="69">
        <f t="shared" si="42"/>
        <v>2.2161216228382206E-2</v>
      </c>
      <c r="H63" s="69">
        <f t="shared" si="42"/>
        <v>5.1675865922455613E-2</v>
      </c>
      <c r="I63" s="69">
        <f t="shared" si="42"/>
        <v>4.9085195975146698E-2</v>
      </c>
      <c r="J63" s="69">
        <f t="shared" si="42"/>
        <v>4.5683711322939774E-2</v>
      </c>
      <c r="K63" s="69">
        <f t="shared" si="42"/>
        <v>4.4271417983434161E-2</v>
      </c>
      <c r="L63" s="69">
        <f t="shared" si="42"/>
        <v>3.3302197921405735E-2</v>
      </c>
      <c r="M63" s="69">
        <f t="shared" si="42"/>
        <v>3.0574951571841286E-2</v>
      </c>
      <c r="N63" s="69">
        <f t="shared" si="42"/>
        <v>2.8815082351027768E-2</v>
      </c>
      <c r="O63" s="69">
        <f t="shared" si="42"/>
        <v>2.6893339162260672E-2</v>
      </c>
      <c r="P63" s="69">
        <f t="shared" si="42"/>
        <v>2.5745471820804409E-2</v>
      </c>
      <c r="Q63" s="69">
        <f t="shared" si="42"/>
        <v>2.458506987492131E-2</v>
      </c>
      <c r="R63" s="69">
        <f t="shared" si="42"/>
        <v>2.3444167570306273E-2</v>
      </c>
      <c r="S63" s="69">
        <f t="shared" si="42"/>
        <v>2.235439207780781E-2</v>
      </c>
    </row>
    <row r="64" spans="2:22" ht="8" customHeight="1" x14ac:dyDescent="0.35"/>
    <row r="65" spans="2:22" ht="14.5" customHeight="1" x14ac:dyDescent="0.35">
      <c r="B65" s="9" t="s">
        <v>467</v>
      </c>
      <c r="C65" s="9"/>
      <c r="D65" s="9"/>
      <c r="E65" s="9"/>
      <c r="F65" s="9"/>
      <c r="G65" s="9"/>
      <c r="H65" s="9"/>
      <c r="I65" s="9"/>
      <c r="J65" s="9"/>
      <c r="K65" s="9"/>
      <c r="L65" s="9"/>
      <c r="M65" s="9"/>
      <c r="N65" s="9"/>
      <c r="O65" s="9"/>
      <c r="P65" s="9"/>
      <c r="Q65" s="9"/>
      <c r="R65" s="9"/>
      <c r="S65" s="9"/>
      <c r="T65" s="9"/>
    </row>
    <row r="66" spans="2:22" ht="5" customHeight="1" x14ac:dyDescent="0.35"/>
    <row r="67" spans="2:22" x14ac:dyDescent="0.35">
      <c r="B67" s="11" t="s">
        <v>264</v>
      </c>
      <c r="C67" s="59" t="s">
        <v>167</v>
      </c>
      <c r="E67" s="51">
        <f t="shared" ref="E67:S67" si="43">E58</f>
        <v>3790</v>
      </c>
      <c r="F67" s="51">
        <f t="shared" si="43"/>
        <v>3468</v>
      </c>
      <c r="G67" s="51">
        <f t="shared" si="43"/>
        <v>3668</v>
      </c>
      <c r="H67" s="51">
        <f t="shared" si="43"/>
        <v>4262</v>
      </c>
      <c r="I67" s="51">
        <f t="shared" si="43"/>
        <v>4687</v>
      </c>
      <c r="J67" s="51">
        <f t="shared" si="43"/>
        <v>5045</v>
      </c>
      <c r="K67" s="51">
        <f t="shared" si="43"/>
        <v>5433</v>
      </c>
      <c r="L67" s="51">
        <f t="shared" si="43"/>
        <v>5726.4479591482213</v>
      </c>
      <c r="M67" s="51">
        <f t="shared" si="43"/>
        <v>6083.8427205928429</v>
      </c>
      <c r="N67" s="51">
        <f t="shared" si="43"/>
        <v>6479.0281577074584</v>
      </c>
      <c r="O67" s="51">
        <f t="shared" si="43"/>
        <v>6875.8850742664126</v>
      </c>
      <c r="P67" s="51">
        <f t="shared" si="43"/>
        <v>7257.9391223272778</v>
      </c>
      <c r="Q67" s="51">
        <f t="shared" si="43"/>
        <v>7613.3094600678996</v>
      </c>
      <c r="R67" s="51">
        <f t="shared" si="43"/>
        <v>7938.8226047651588</v>
      </c>
      <c r="S67" s="51">
        <f t="shared" si="43"/>
        <v>8244.1745141924257</v>
      </c>
    </row>
    <row r="68" spans="2:22" x14ac:dyDescent="0.35">
      <c r="B68" s="40" t="s">
        <v>265</v>
      </c>
      <c r="C68" s="59" t="s">
        <v>167</v>
      </c>
      <c r="E68" s="80">
        <f>Hist!E13</f>
        <v>-1383.3</v>
      </c>
      <c r="F68" s="80">
        <f>Hist!F13</f>
        <v>-1310.9</v>
      </c>
      <c r="G68" s="80">
        <f>Hist!G13</f>
        <v>-1364.5</v>
      </c>
      <c r="H68" s="80">
        <f>Hist!H13</f>
        <v>-1623.8</v>
      </c>
      <c r="I68" s="80">
        <f>Hist!I13</f>
        <v>-1762.3</v>
      </c>
      <c r="J68" s="80">
        <f>Hist!J13</f>
        <v>-1866.7</v>
      </c>
      <c r="K68" s="80">
        <f>Hist!K13</f>
        <v>-1988.5</v>
      </c>
      <c r="L68" s="49">
        <f>-L67*Drivers!L70</f>
        <v>-2095.8799530482488</v>
      </c>
      <c r="M68" s="49">
        <f>-M67*Drivers!M70</f>
        <v>-2226.6864357369805</v>
      </c>
      <c r="N68" s="49">
        <f>-N67*Drivers!N70</f>
        <v>-2371.3243057209297</v>
      </c>
      <c r="O68" s="49">
        <f>-O67*Drivers!O70</f>
        <v>-2516.5739371815071</v>
      </c>
      <c r="P68" s="49">
        <f>-P67*Drivers!P70</f>
        <v>-2656.4057187717835</v>
      </c>
      <c r="Q68" s="49">
        <f>-Q67*Drivers!Q70</f>
        <v>-2786.4712623848513</v>
      </c>
      <c r="R68" s="49">
        <f>-R67*Drivers!R70</f>
        <v>-2905.6090733440478</v>
      </c>
      <c r="S68" s="49">
        <f>-S67*Drivers!S70</f>
        <v>-3017.3678721944279</v>
      </c>
    </row>
    <row r="69" spans="2:22" x14ac:dyDescent="0.35">
      <c r="B69" s="61" t="s">
        <v>266</v>
      </c>
      <c r="C69" s="62" t="s">
        <v>167</v>
      </c>
      <c r="D69" s="63"/>
      <c r="E69" s="64">
        <f t="shared" ref="E69:S69" si="44">E67+E68</f>
        <v>2406.6999999999998</v>
      </c>
      <c r="F69" s="64">
        <f t="shared" si="44"/>
        <v>2157.1</v>
      </c>
      <c r="G69" s="64">
        <f t="shared" si="44"/>
        <v>2303.5</v>
      </c>
      <c r="H69" s="64">
        <f t="shared" si="44"/>
        <v>2638.2</v>
      </c>
      <c r="I69" s="64">
        <f t="shared" si="44"/>
        <v>2924.7</v>
      </c>
      <c r="J69" s="64">
        <f t="shared" si="44"/>
        <v>3178.3</v>
      </c>
      <c r="K69" s="64">
        <f t="shared" si="44"/>
        <v>3444.5</v>
      </c>
      <c r="L69" s="64">
        <f t="shared" si="44"/>
        <v>3630.5680060999725</v>
      </c>
      <c r="M69" s="64">
        <f t="shared" si="44"/>
        <v>3857.1562848558624</v>
      </c>
      <c r="N69" s="64">
        <f t="shared" si="44"/>
        <v>4107.7038519865291</v>
      </c>
      <c r="O69" s="64">
        <f t="shared" si="44"/>
        <v>4359.3111370849056</v>
      </c>
      <c r="P69" s="64">
        <f t="shared" si="44"/>
        <v>4601.5334035554943</v>
      </c>
      <c r="Q69" s="64">
        <f t="shared" si="44"/>
        <v>4826.8381976830478</v>
      </c>
      <c r="R69" s="64">
        <f t="shared" si="44"/>
        <v>5033.2135314211109</v>
      </c>
      <c r="S69" s="64">
        <f t="shared" si="44"/>
        <v>5226.8066419979978</v>
      </c>
      <c r="T69" s="63"/>
    </row>
    <row r="70" spans="2:22" x14ac:dyDescent="0.35">
      <c r="B70" s="65" t="s">
        <v>325</v>
      </c>
      <c r="C70" s="59" t="s">
        <v>323</v>
      </c>
      <c r="E70" s="69">
        <f t="shared" ref="E70:S70" si="45">E69/E67</f>
        <v>0.63501319261213718</v>
      </c>
      <c r="F70" s="69">
        <f t="shared" si="45"/>
        <v>0.62200115340253748</v>
      </c>
      <c r="G70" s="69">
        <f t="shared" si="45"/>
        <v>0.62799890948745907</v>
      </c>
      <c r="H70" s="69">
        <f t="shared" si="45"/>
        <v>0.61900516189582355</v>
      </c>
      <c r="I70" s="69">
        <f t="shared" si="45"/>
        <v>0.62400256027309575</v>
      </c>
      <c r="J70" s="69">
        <f t="shared" si="45"/>
        <v>0.62999008919722499</v>
      </c>
      <c r="K70" s="69">
        <f t="shared" si="45"/>
        <v>0.63399595067182035</v>
      </c>
      <c r="L70" s="69">
        <f t="shared" si="45"/>
        <v>0.63400000000000001</v>
      </c>
      <c r="M70" s="69">
        <f t="shared" si="45"/>
        <v>0.63400000000000001</v>
      </c>
      <c r="N70" s="69">
        <f t="shared" si="45"/>
        <v>0.63400000000000012</v>
      </c>
      <c r="O70" s="69">
        <f t="shared" si="45"/>
        <v>0.63400000000000001</v>
      </c>
      <c r="P70" s="69">
        <f t="shared" si="45"/>
        <v>0.63400000000000001</v>
      </c>
      <c r="Q70" s="69">
        <f t="shared" si="45"/>
        <v>0.6339999999999999</v>
      </c>
      <c r="R70" s="69">
        <f t="shared" si="45"/>
        <v>0.63400000000000001</v>
      </c>
      <c r="S70" s="69">
        <f t="shared" si="45"/>
        <v>0.63400000000000001</v>
      </c>
    </row>
    <row r="71" spans="2:22" ht="8" customHeight="1" x14ac:dyDescent="0.35"/>
    <row r="72" spans="2:22" x14ac:dyDescent="0.35">
      <c r="B72" s="99" t="s">
        <v>468</v>
      </c>
      <c r="C72" s="59" t="s">
        <v>167</v>
      </c>
      <c r="E72" s="71">
        <f>E74*Drivers!$H$100</f>
        <v>-523.02</v>
      </c>
      <c r="F72" s="71">
        <f>F74*Drivers!$H$100</f>
        <v>-511.86</v>
      </c>
      <c r="G72" s="71">
        <f>G74*Drivers!$H$100</f>
        <v>-523.79999999999995</v>
      </c>
      <c r="H72" s="71">
        <f>H74*Drivers!$H$100</f>
        <v>-585.6</v>
      </c>
      <c r="I72" s="71">
        <f>I74*Drivers!$H$100</f>
        <v>-629.94000000000005</v>
      </c>
      <c r="J72" s="71">
        <f>J74*Drivers!$H$100</f>
        <v>-668.94</v>
      </c>
      <c r="K72" s="71">
        <f>K74*Drivers!$H$100</f>
        <v>-710.64</v>
      </c>
      <c r="L72" s="71">
        <f>K72*(1+Drivers!L73)*(1+Drivers!L74)</f>
        <v>-748.63350420560755</v>
      </c>
      <c r="M72" s="71">
        <f>L72*(1+Drivers!M73)*(1+Drivers!M74)</f>
        <v>-787.15248045771034</v>
      </c>
      <c r="N72" s="71">
        <f>M72*(1+Drivers!N73)*(1+Drivers!N74)</f>
        <v>-825.45047614151804</v>
      </c>
      <c r="O72" s="71">
        <f>N72*(1+Drivers!O73)*(1+Drivers!O74)</f>
        <v>-863.67596127733589</v>
      </c>
      <c r="P72" s="71">
        <f>O72*(1+Drivers!P73)*(1+Drivers!P74)</f>
        <v>-900.42026663198999</v>
      </c>
      <c r="Q72" s="71">
        <f>P72*(1+Drivers!Q73)*(1+Drivers!Q74)</f>
        <v>-935.56724940277957</v>
      </c>
      <c r="R72" s="71">
        <f>Q72*(1+Drivers!R73)*(1+Drivers!R74)</f>
        <v>-968.98535745228844</v>
      </c>
      <c r="S72" s="71">
        <f>R72*(1+Drivers!S73)*(1+Drivers!S74)</f>
        <v>-1001.9908262829937</v>
      </c>
      <c r="V72" s="15" t="s">
        <v>469</v>
      </c>
    </row>
    <row r="73" spans="2:22" x14ac:dyDescent="0.35">
      <c r="B73" s="99" t="s">
        <v>470</v>
      </c>
      <c r="C73" s="59" t="s">
        <v>167</v>
      </c>
      <c r="E73" s="71">
        <f t="shared" ref="E73:K73" si="46">E74-E72</f>
        <v>-348.68000000000006</v>
      </c>
      <c r="F73" s="71">
        <f t="shared" si="46"/>
        <v>-341.24</v>
      </c>
      <c r="G73" s="71">
        <f t="shared" si="46"/>
        <v>-349.20000000000005</v>
      </c>
      <c r="H73" s="71">
        <f t="shared" si="46"/>
        <v>-390.4</v>
      </c>
      <c r="I73" s="71">
        <f t="shared" si="46"/>
        <v>-419.96000000000004</v>
      </c>
      <c r="J73" s="71">
        <f t="shared" si="46"/>
        <v>-445.96000000000004</v>
      </c>
      <c r="K73" s="71">
        <f t="shared" si="46"/>
        <v>-473.7600000000001</v>
      </c>
      <c r="L73" s="71">
        <f>-L67*Drivers!L71</f>
        <v>-499.3462620377249</v>
      </c>
      <c r="M73" s="71">
        <f>-M67*Drivers!M71</f>
        <v>-530.51108523569587</v>
      </c>
      <c r="N73" s="71">
        <f>-N67*Drivers!N71</f>
        <v>-564.97125535209034</v>
      </c>
      <c r="O73" s="71">
        <f>-O67*Drivers!O71</f>
        <v>-599.57717847603124</v>
      </c>
      <c r="P73" s="71">
        <f>-P67*Drivers!P71</f>
        <v>-632.89229146693867</v>
      </c>
      <c r="Q73" s="71">
        <f>-Q67*Drivers!Q71</f>
        <v>-663.88058491792083</v>
      </c>
      <c r="R73" s="71">
        <f>-R67*Drivers!R71</f>
        <v>-692.26533113552182</v>
      </c>
      <c r="S73" s="71">
        <f>-S67*Drivers!S71</f>
        <v>-718.89201763757956</v>
      </c>
      <c r="V73" s="15" t="s">
        <v>471</v>
      </c>
    </row>
    <row r="74" spans="2:22" x14ac:dyDescent="0.35">
      <c r="B74" s="40" t="s">
        <v>267</v>
      </c>
      <c r="C74" s="59" t="s">
        <v>167</v>
      </c>
      <c r="E74" s="80">
        <f>Hist!E15</f>
        <v>-871.7</v>
      </c>
      <c r="F74" s="80">
        <f>Hist!F15</f>
        <v>-853.1</v>
      </c>
      <c r="G74" s="80">
        <f>Hist!G15</f>
        <v>-873</v>
      </c>
      <c r="H74" s="80">
        <f>Hist!H15</f>
        <v>-976</v>
      </c>
      <c r="I74" s="80">
        <f>Hist!I15</f>
        <v>-1049.9000000000001</v>
      </c>
      <c r="J74" s="80">
        <f>Hist!J15</f>
        <v>-1114.9000000000001</v>
      </c>
      <c r="K74" s="80">
        <f>Hist!K15</f>
        <v>-1184.4000000000001</v>
      </c>
      <c r="L74" s="49">
        <f t="shared" ref="L74:S74" si="47">L72+L73</f>
        <v>-1247.9797662433325</v>
      </c>
      <c r="M74" s="49">
        <f t="shared" si="47"/>
        <v>-1317.6635656934063</v>
      </c>
      <c r="N74" s="49">
        <f t="shared" si="47"/>
        <v>-1390.4217314936084</v>
      </c>
      <c r="O74" s="49">
        <f t="shared" si="47"/>
        <v>-1463.2531397533671</v>
      </c>
      <c r="P74" s="49">
        <f t="shared" si="47"/>
        <v>-1533.3125580989285</v>
      </c>
      <c r="Q74" s="49">
        <f t="shared" si="47"/>
        <v>-1599.4478343207004</v>
      </c>
      <c r="R74" s="49">
        <f t="shared" si="47"/>
        <v>-1661.2506885878101</v>
      </c>
      <c r="S74" s="49">
        <f t="shared" si="47"/>
        <v>-1720.8828439205731</v>
      </c>
    </row>
    <row r="75" spans="2:22" x14ac:dyDescent="0.35">
      <c r="B75" s="99" t="s">
        <v>472</v>
      </c>
      <c r="C75" s="59" t="s">
        <v>167</v>
      </c>
      <c r="E75" s="71">
        <f>E77*Drivers!$H$101</f>
        <v>-242.55</v>
      </c>
      <c r="F75" s="71">
        <f>F77*Drivers!$H$101</f>
        <v>-234.1</v>
      </c>
      <c r="G75" s="71">
        <f>G77*Drivers!$H$101</f>
        <v>-240.25</v>
      </c>
      <c r="H75" s="71">
        <f>H77*Drivers!$H$101</f>
        <v>-268.5</v>
      </c>
      <c r="I75" s="71">
        <f>I77*Drivers!$H$101</f>
        <v>-288.25</v>
      </c>
      <c r="J75" s="71">
        <f>J77*Drivers!$H$101</f>
        <v>-305.2</v>
      </c>
      <c r="K75" s="71">
        <f>K77*Drivers!$H$101</f>
        <v>-323.25</v>
      </c>
      <c r="L75" s="71">
        <f>K75*(1+Drivers!L73)*(1+Drivers!L74)</f>
        <v>-340.53216851635517</v>
      </c>
      <c r="M75" s="71">
        <f>L75*(1+Drivers!M73)*(1+Drivers!M74)</f>
        <v>-358.05335937739909</v>
      </c>
      <c r="N75" s="71">
        <f>M75*(1+Drivers!N73)*(1+Drivers!N74)</f>
        <v>-375.47403243941477</v>
      </c>
      <c r="O75" s="71">
        <f>N75*(1+Drivers!O73)*(1+Drivers!O74)</f>
        <v>-392.86172250773785</v>
      </c>
      <c r="P75" s="71">
        <f>O75*(1+Drivers!P73)*(1+Drivers!P74)</f>
        <v>-409.57566586287118</v>
      </c>
      <c r="Q75" s="71">
        <f>P75*(1+Drivers!Q73)*(1+Drivers!Q74)</f>
        <v>-425.56303243477498</v>
      </c>
      <c r="R75" s="71">
        <f>Q75*(1+Drivers!R73)*(1+Drivers!R74)</f>
        <v>-440.76398288367142</v>
      </c>
      <c r="S75" s="71">
        <f>R75*(1+Drivers!S73)*(1+Drivers!S74)</f>
        <v>-455.77723544407542</v>
      </c>
    </row>
    <row r="76" spans="2:22" x14ac:dyDescent="0.35">
      <c r="B76" s="99" t="s">
        <v>473</v>
      </c>
      <c r="C76" s="59" t="s">
        <v>167</v>
      </c>
      <c r="E76" s="71">
        <f t="shared" ref="E76:K76" si="48">E77-E75</f>
        <v>-242.55</v>
      </c>
      <c r="F76" s="71">
        <f t="shared" si="48"/>
        <v>-234.1</v>
      </c>
      <c r="G76" s="71">
        <f t="shared" si="48"/>
        <v>-240.25</v>
      </c>
      <c r="H76" s="71">
        <f t="shared" si="48"/>
        <v>-268.5</v>
      </c>
      <c r="I76" s="71">
        <f t="shared" si="48"/>
        <v>-288.25</v>
      </c>
      <c r="J76" s="71">
        <f t="shared" si="48"/>
        <v>-305.2</v>
      </c>
      <c r="K76" s="71">
        <f t="shared" si="48"/>
        <v>-323.25</v>
      </c>
      <c r="L76" s="71">
        <f>-L67*Drivers!L72</f>
        <v>-340.72365356931914</v>
      </c>
      <c r="M76" s="71">
        <f>-M67*Drivers!M72</f>
        <v>-361.98864187527414</v>
      </c>
      <c r="N76" s="71">
        <f>-N67*Drivers!N72</f>
        <v>-385.50217538359374</v>
      </c>
      <c r="O76" s="71">
        <f>-O67*Drivers!O72</f>
        <v>-409.11516191885153</v>
      </c>
      <c r="P76" s="71">
        <f>-P67*Drivers!P72</f>
        <v>-431.847377778473</v>
      </c>
      <c r="Q76" s="71">
        <f>-Q67*Drivers!Q72</f>
        <v>-452.99191287404</v>
      </c>
      <c r="R76" s="71">
        <f>-R67*Drivers!R72</f>
        <v>-472.35994498352693</v>
      </c>
      <c r="S76" s="71">
        <f>-S67*Drivers!S72</f>
        <v>-490.52838359444928</v>
      </c>
    </row>
    <row r="77" spans="2:22" x14ac:dyDescent="0.35">
      <c r="B77" s="40" t="s">
        <v>268</v>
      </c>
      <c r="C77" s="59" t="s">
        <v>167</v>
      </c>
      <c r="E77" s="80">
        <f>Hist!E16</f>
        <v>-485.1</v>
      </c>
      <c r="F77" s="80">
        <f>Hist!F16</f>
        <v>-468.2</v>
      </c>
      <c r="G77" s="80">
        <f>Hist!G16</f>
        <v>-480.5</v>
      </c>
      <c r="H77" s="80">
        <f>Hist!H16</f>
        <v>-537</v>
      </c>
      <c r="I77" s="80">
        <f>Hist!I16</f>
        <v>-576.5</v>
      </c>
      <c r="J77" s="80">
        <f>Hist!J16</f>
        <v>-610.4</v>
      </c>
      <c r="K77" s="80">
        <f>Hist!K16</f>
        <v>-646.5</v>
      </c>
      <c r="L77" s="49">
        <f t="shared" ref="L77:S77" si="49">L75+L76</f>
        <v>-681.25582208567425</v>
      </c>
      <c r="M77" s="49">
        <f t="shared" si="49"/>
        <v>-720.04200125267323</v>
      </c>
      <c r="N77" s="49">
        <f t="shared" si="49"/>
        <v>-760.97620782300851</v>
      </c>
      <c r="O77" s="49">
        <f t="shared" si="49"/>
        <v>-801.97688442658932</v>
      </c>
      <c r="P77" s="49">
        <f t="shared" si="49"/>
        <v>-841.42304364134418</v>
      </c>
      <c r="Q77" s="49">
        <f t="shared" si="49"/>
        <v>-878.55494530881492</v>
      </c>
      <c r="R77" s="49">
        <f t="shared" si="49"/>
        <v>-913.12392786719829</v>
      </c>
      <c r="S77" s="49">
        <f t="shared" si="49"/>
        <v>-946.3056190385247</v>
      </c>
      <c r="V77" s="15" t="s">
        <v>474</v>
      </c>
    </row>
    <row r="78" spans="2:22" x14ac:dyDescent="0.35">
      <c r="B78" s="61" t="s">
        <v>269</v>
      </c>
      <c r="C78" s="62" t="s">
        <v>167</v>
      </c>
      <c r="D78" s="63"/>
      <c r="E78" s="64">
        <f t="shared" ref="E78:S78" si="50">E69+E74+E77</f>
        <v>1049.8999999999996</v>
      </c>
      <c r="F78" s="64">
        <f t="shared" si="50"/>
        <v>835.8</v>
      </c>
      <c r="G78" s="64">
        <f t="shared" si="50"/>
        <v>950</v>
      </c>
      <c r="H78" s="64">
        <f t="shared" si="50"/>
        <v>1125.1999999999998</v>
      </c>
      <c r="I78" s="64">
        <f t="shared" si="50"/>
        <v>1298.2999999999997</v>
      </c>
      <c r="J78" s="64">
        <f t="shared" si="50"/>
        <v>1453</v>
      </c>
      <c r="K78" s="64">
        <f t="shared" si="50"/>
        <v>1613.6</v>
      </c>
      <c r="L78" s="64">
        <f t="shared" si="50"/>
        <v>1701.3324177709658</v>
      </c>
      <c r="M78" s="64">
        <f t="shared" si="50"/>
        <v>1819.4507179097827</v>
      </c>
      <c r="N78" s="64">
        <f t="shared" si="50"/>
        <v>1956.305912669912</v>
      </c>
      <c r="O78" s="64">
        <f t="shared" si="50"/>
        <v>2094.0811129049489</v>
      </c>
      <c r="P78" s="64">
        <f t="shared" si="50"/>
        <v>2226.7978018152216</v>
      </c>
      <c r="Q78" s="64">
        <f t="shared" si="50"/>
        <v>2348.8354180535325</v>
      </c>
      <c r="R78" s="64">
        <f t="shared" si="50"/>
        <v>2458.8389149661025</v>
      </c>
      <c r="S78" s="64">
        <f t="shared" si="50"/>
        <v>2559.6181790389001</v>
      </c>
      <c r="T78" s="63"/>
    </row>
    <row r="79" spans="2:22" x14ac:dyDescent="0.35">
      <c r="B79" s="65" t="s">
        <v>475</v>
      </c>
      <c r="C79" s="59" t="s">
        <v>323</v>
      </c>
      <c r="E79" s="69">
        <f t="shared" ref="E79:S79" si="51">E78/E67</f>
        <v>0.27701846965699201</v>
      </c>
      <c r="F79" s="69">
        <f t="shared" si="51"/>
        <v>0.24100346020761243</v>
      </c>
      <c r="G79" s="69">
        <f t="shared" si="51"/>
        <v>0.25899672846237731</v>
      </c>
      <c r="H79" s="69">
        <f t="shared" si="51"/>
        <v>0.26400750821210694</v>
      </c>
      <c r="I79" s="69">
        <f t="shared" si="51"/>
        <v>0.27700021335609126</v>
      </c>
      <c r="J79" s="69">
        <f t="shared" si="51"/>
        <v>0.28800792864222002</v>
      </c>
      <c r="K79" s="69">
        <f t="shared" si="51"/>
        <v>0.29699981593962821</v>
      </c>
      <c r="L79" s="69">
        <f t="shared" si="51"/>
        <v>0.29710082583620123</v>
      </c>
      <c r="M79" s="69">
        <f t="shared" si="51"/>
        <v>0.29906274725860854</v>
      </c>
      <c r="N79" s="69">
        <f t="shared" si="51"/>
        <v>0.30194434490035182</v>
      </c>
      <c r="O79" s="69">
        <f t="shared" si="51"/>
        <v>0.30455440867419764</v>
      </c>
      <c r="P79" s="69">
        <f t="shared" si="51"/>
        <v>0.30680855326617745</v>
      </c>
      <c r="Q79" s="69">
        <f t="shared" si="51"/>
        <v>0.30851700306854257</v>
      </c>
      <c r="R79" s="69">
        <f t="shared" si="51"/>
        <v>0.30972337302136232</v>
      </c>
      <c r="S79" s="69">
        <f t="shared" si="51"/>
        <v>0.31047598211712923</v>
      </c>
    </row>
    <row r="80" spans="2:22" ht="8" customHeight="1" x14ac:dyDescent="0.35"/>
    <row r="81" spans="2:22" x14ac:dyDescent="0.35">
      <c r="B81" s="40" t="s">
        <v>476</v>
      </c>
      <c r="C81" s="59" t="s">
        <v>167</v>
      </c>
      <c r="E81" s="80">
        <f>Hist!E32</f>
        <v>-318.39999999999998</v>
      </c>
      <c r="F81" s="80">
        <f>Hist!F32</f>
        <v>-322.5</v>
      </c>
      <c r="G81" s="80">
        <f>Hist!G32</f>
        <v>-326.5</v>
      </c>
      <c r="H81" s="80">
        <f>Hist!H32</f>
        <v>-349.5</v>
      </c>
      <c r="I81" s="80">
        <f>Hist!I32</f>
        <v>-375</v>
      </c>
      <c r="J81" s="80">
        <f>Hist!J32</f>
        <v>-398.6</v>
      </c>
      <c r="K81" s="80">
        <f>Hist!K32</f>
        <v>-423.8</v>
      </c>
      <c r="L81" s="49">
        <f>IF(Inputs!$C$72=2,K81*(1+Drivers!L73)*(1+L55),-L67*Drivers!L75)</f>
        <v>-449.77260280373832</v>
      </c>
      <c r="M81" s="49">
        <f>IF(Inputs!$C$72=2,L81*(1+Drivers!M73)*(1+M55),-M67*Drivers!M75)</f>
        <v>-476.58047778037383</v>
      </c>
      <c r="N81" s="49">
        <f>IF(Inputs!$C$72=2,M81*(1+Drivers!N73)*(1+N55),-N67*Drivers!N75)</f>
        <v>-503.52560479334102</v>
      </c>
      <c r="O81" s="49">
        <f>IF(Inputs!$C$72=2,N81*(1+Drivers!O73)*(1+O55),-O67*Drivers!O75)</f>
        <v>-530.41966961226035</v>
      </c>
      <c r="P81" s="49">
        <f>IF(Inputs!$C$72=2,O81*(1+Drivers!P73)*(1+P55),-P67*Drivers!P75)</f>
        <v>-556.08779988965853</v>
      </c>
      <c r="Q81" s="49">
        <f>IF(Inputs!$C$72=2,P81*(1+Drivers!Q73)*(1+Q55),-Q67*Drivers!Q75)</f>
        <v>-580.3954917509609</v>
      </c>
      <c r="R81" s="49">
        <f>IF(Inputs!$C$72=2,Q81*(1+Drivers!R73)*(1+R55),-R67*Drivers!R75)</f>
        <v>-603.20087237802795</v>
      </c>
      <c r="S81" s="49">
        <f>IF(Inputs!$C$72=2,R81*(1+Drivers!S73)*(1+S55),-S67*Drivers!S75)</f>
        <v>-625.56907761601474</v>
      </c>
      <c r="V81" s="15" t="s">
        <v>477</v>
      </c>
    </row>
    <row r="82" spans="2:22" x14ac:dyDescent="0.35">
      <c r="B82" s="61" t="s">
        <v>478</v>
      </c>
      <c r="C82" s="62" t="s">
        <v>167</v>
      </c>
      <c r="D82" s="63"/>
      <c r="E82" s="64">
        <f t="shared" ref="E82:S82" si="52">E78+E81</f>
        <v>731.49999999999966</v>
      </c>
      <c r="F82" s="64">
        <f t="shared" si="52"/>
        <v>513.29999999999995</v>
      </c>
      <c r="G82" s="64">
        <f t="shared" si="52"/>
        <v>623.5</v>
      </c>
      <c r="H82" s="64">
        <f t="shared" si="52"/>
        <v>775.69999999999982</v>
      </c>
      <c r="I82" s="64">
        <f t="shared" si="52"/>
        <v>923.29999999999973</v>
      </c>
      <c r="J82" s="64">
        <f t="shared" si="52"/>
        <v>1054.4000000000001</v>
      </c>
      <c r="K82" s="64">
        <f t="shared" si="52"/>
        <v>1189.8</v>
      </c>
      <c r="L82" s="64">
        <f t="shared" si="52"/>
        <v>1251.5598149672273</v>
      </c>
      <c r="M82" s="64">
        <f t="shared" si="52"/>
        <v>1342.870240129409</v>
      </c>
      <c r="N82" s="64">
        <f t="shared" si="52"/>
        <v>1452.780307876571</v>
      </c>
      <c r="O82" s="64">
        <f t="shared" si="52"/>
        <v>1563.6614432926885</v>
      </c>
      <c r="P82" s="64">
        <f t="shared" si="52"/>
        <v>1670.7100019255631</v>
      </c>
      <c r="Q82" s="64">
        <f t="shared" si="52"/>
        <v>1768.4399263025716</v>
      </c>
      <c r="R82" s="64">
        <f t="shared" si="52"/>
        <v>1855.6380425880745</v>
      </c>
      <c r="S82" s="64">
        <f t="shared" si="52"/>
        <v>1934.0491014228853</v>
      </c>
      <c r="T82" s="63"/>
    </row>
    <row r="83" spans="2:22" x14ac:dyDescent="0.35">
      <c r="B83" s="65" t="s">
        <v>331</v>
      </c>
      <c r="C83" s="59" t="s">
        <v>323</v>
      </c>
      <c r="E83" s="69">
        <f t="shared" ref="E83:S83" si="53">E82/E67</f>
        <v>0.19300791556728222</v>
      </c>
      <c r="F83" s="69">
        <f t="shared" si="53"/>
        <v>0.14801038062283736</v>
      </c>
      <c r="G83" s="69">
        <f t="shared" si="53"/>
        <v>0.16998364231188659</v>
      </c>
      <c r="H83" s="69">
        <f t="shared" si="53"/>
        <v>0.18200375410605346</v>
      </c>
      <c r="I83" s="69">
        <f t="shared" si="53"/>
        <v>0.19699167911243859</v>
      </c>
      <c r="J83" s="69">
        <f t="shared" si="53"/>
        <v>0.20899900891972251</v>
      </c>
      <c r="K83" s="69">
        <f t="shared" si="53"/>
        <v>0.21899503036996135</v>
      </c>
      <c r="L83" s="69">
        <f t="shared" si="53"/>
        <v>0.21855779077985199</v>
      </c>
      <c r="M83" s="69">
        <f t="shared" si="53"/>
        <v>0.22072731032049961</v>
      </c>
      <c r="N83" s="69">
        <f t="shared" si="53"/>
        <v>0.22422812071720077</v>
      </c>
      <c r="O83" s="69">
        <f t="shared" si="53"/>
        <v>0.22741238784586804</v>
      </c>
      <c r="P83" s="69">
        <f t="shared" si="53"/>
        <v>0.23019068826108388</v>
      </c>
      <c r="Q83" s="69">
        <f t="shared" si="53"/>
        <v>0.23228268016400844</v>
      </c>
      <c r="R83" s="69">
        <f t="shared" si="53"/>
        <v>0.23374222286743826</v>
      </c>
      <c r="S83" s="69">
        <f t="shared" si="53"/>
        <v>0.23459584681200055</v>
      </c>
    </row>
    <row r="84" spans="2:22" x14ac:dyDescent="0.35">
      <c r="B84" s="40" t="s">
        <v>270</v>
      </c>
      <c r="C84" s="59" t="s">
        <v>167</v>
      </c>
      <c r="E84" s="80">
        <f>Hist!E18</f>
        <v>-174.3</v>
      </c>
      <c r="F84" s="80">
        <f>Hist!F18</f>
        <v>-176.9</v>
      </c>
      <c r="G84" s="80">
        <f>Hist!G18</f>
        <v>-179.7</v>
      </c>
      <c r="H84" s="80">
        <f>Hist!H18</f>
        <v>-196.1</v>
      </c>
      <c r="I84" s="80">
        <f>Hist!I18</f>
        <v>-210.9</v>
      </c>
      <c r="J84" s="80">
        <f>Hist!J18</f>
        <v>-227</v>
      </c>
      <c r="K84" s="80">
        <f>Hist!K18</f>
        <v>-239.1</v>
      </c>
      <c r="L84" s="49">
        <f>-L67*Drivers!L76</f>
        <v>-251.96371020252172</v>
      </c>
      <c r="M84" s="49">
        <f>-M67*Drivers!M76</f>
        <v>-267.68907970608507</v>
      </c>
      <c r="N84" s="49">
        <f>-N67*Drivers!N76</f>
        <v>-285.07723893912816</v>
      </c>
      <c r="O84" s="49">
        <f>-O67*Drivers!O76</f>
        <v>-302.53894326772212</v>
      </c>
      <c r="P84" s="49">
        <f>-P67*Drivers!P76</f>
        <v>-319.34932138240021</v>
      </c>
      <c r="Q84" s="49">
        <f>-Q67*Drivers!Q76</f>
        <v>-334.98561624298759</v>
      </c>
      <c r="R84" s="49">
        <f>-R67*Drivers!R76</f>
        <v>-349.30819460966694</v>
      </c>
      <c r="S84" s="49">
        <f>-S67*Drivers!S76</f>
        <v>-362.74367862446672</v>
      </c>
    </row>
    <row r="85" spans="2:22" x14ac:dyDescent="0.35">
      <c r="B85" s="103" t="s">
        <v>283</v>
      </c>
      <c r="C85" s="104" t="s">
        <v>167</v>
      </c>
      <c r="D85" s="105"/>
      <c r="E85" s="106">
        <f t="shared" ref="E85:S85" si="54">E82+E84</f>
        <v>557.19999999999959</v>
      </c>
      <c r="F85" s="106">
        <f t="shared" si="54"/>
        <v>336.4</v>
      </c>
      <c r="G85" s="106">
        <f t="shared" si="54"/>
        <v>443.8</v>
      </c>
      <c r="H85" s="106">
        <f t="shared" si="54"/>
        <v>579.5999999999998</v>
      </c>
      <c r="I85" s="106">
        <f t="shared" si="54"/>
        <v>712.39999999999975</v>
      </c>
      <c r="J85" s="106">
        <f t="shared" si="54"/>
        <v>827.40000000000009</v>
      </c>
      <c r="K85" s="106">
        <f t="shared" si="54"/>
        <v>950.69999999999993</v>
      </c>
      <c r="L85" s="106">
        <f t="shared" si="54"/>
        <v>999.59610476470561</v>
      </c>
      <c r="M85" s="106">
        <f t="shared" si="54"/>
        <v>1075.1811604233239</v>
      </c>
      <c r="N85" s="106">
        <f t="shared" si="54"/>
        <v>1167.7030689374428</v>
      </c>
      <c r="O85" s="106">
        <f t="shared" si="54"/>
        <v>1261.1225000249665</v>
      </c>
      <c r="P85" s="106">
        <f t="shared" si="54"/>
        <v>1351.360680543163</v>
      </c>
      <c r="Q85" s="106">
        <f t="shared" si="54"/>
        <v>1433.454310059584</v>
      </c>
      <c r="R85" s="106">
        <f t="shared" si="54"/>
        <v>1506.3298479784075</v>
      </c>
      <c r="S85" s="106">
        <f t="shared" si="54"/>
        <v>1571.3054227984185</v>
      </c>
      <c r="T85" s="105"/>
      <c r="V85" s="15" t="s">
        <v>479</v>
      </c>
    </row>
    <row r="86" spans="2:22" x14ac:dyDescent="0.35">
      <c r="B86" s="65" t="s">
        <v>333</v>
      </c>
      <c r="C86" s="59" t="s">
        <v>323</v>
      </c>
      <c r="E86" s="69">
        <f t="shared" ref="E86:S86" si="55">E85/E67</f>
        <v>0.14701846965699197</v>
      </c>
      <c r="F86" s="69">
        <f t="shared" si="55"/>
        <v>9.7001153402537482E-2</v>
      </c>
      <c r="G86" s="69">
        <f t="shared" si="55"/>
        <v>0.12099236641221374</v>
      </c>
      <c r="H86" s="69">
        <f t="shared" si="55"/>
        <v>0.13599249178789297</v>
      </c>
      <c r="I86" s="69">
        <f t="shared" si="55"/>
        <v>0.15199487945380835</v>
      </c>
      <c r="J86" s="69">
        <f t="shared" si="55"/>
        <v>0.16400396432111003</v>
      </c>
      <c r="K86" s="69">
        <f t="shared" si="55"/>
        <v>0.17498619547211483</v>
      </c>
      <c r="L86" s="69">
        <f t="shared" si="55"/>
        <v>0.17455779077985198</v>
      </c>
      <c r="M86" s="69">
        <f t="shared" si="55"/>
        <v>0.1767273103204996</v>
      </c>
      <c r="N86" s="69">
        <f t="shared" si="55"/>
        <v>0.18022812071720079</v>
      </c>
      <c r="O86" s="69">
        <f t="shared" si="55"/>
        <v>0.18341238784586805</v>
      </c>
      <c r="P86" s="69">
        <f t="shared" si="55"/>
        <v>0.1861906882610839</v>
      </c>
      <c r="Q86" s="69">
        <f t="shared" si="55"/>
        <v>0.18828268016400843</v>
      </c>
      <c r="R86" s="69">
        <f t="shared" si="55"/>
        <v>0.18974222286743828</v>
      </c>
      <c r="S86" s="69">
        <f t="shared" si="55"/>
        <v>0.19059584681200054</v>
      </c>
    </row>
    <row r="87" spans="2:22" ht="8" customHeight="1" x14ac:dyDescent="0.35"/>
    <row r="88" spans="2:22" x14ac:dyDescent="0.35">
      <c r="B88" s="18" t="s">
        <v>480</v>
      </c>
      <c r="C88" s="85"/>
      <c r="D88" s="85"/>
      <c r="E88" s="85"/>
      <c r="F88" s="85"/>
      <c r="G88" s="85"/>
      <c r="H88" s="85"/>
      <c r="I88" s="85"/>
      <c r="J88" s="85"/>
      <c r="K88" s="85"/>
      <c r="L88" s="85"/>
      <c r="M88" s="85"/>
      <c r="N88" s="85"/>
      <c r="O88" s="85"/>
      <c r="P88" s="85"/>
      <c r="Q88" s="85"/>
      <c r="R88" s="85"/>
      <c r="S88" s="85"/>
      <c r="T88" s="85"/>
    </row>
    <row r="89" spans="2:22" x14ac:dyDescent="0.35">
      <c r="B89" s="40" t="s">
        <v>129</v>
      </c>
      <c r="C89" s="59" t="s">
        <v>167</v>
      </c>
      <c r="E89" s="80">
        <f>Hist!E20</f>
        <v>0</v>
      </c>
      <c r="F89" s="80">
        <f>Hist!F20</f>
        <v>-45</v>
      </c>
      <c r="G89" s="80">
        <f>Hist!G20</f>
        <v>0</v>
      </c>
      <c r="H89" s="80">
        <f>Hist!H20</f>
        <v>0</v>
      </c>
      <c r="I89" s="80">
        <f>Hist!I20</f>
        <v>-20</v>
      </c>
      <c r="J89" s="80">
        <f>Hist!J20</f>
        <v>0</v>
      </c>
      <c r="K89" s="80">
        <f>Hist!K20</f>
        <v>0</v>
      </c>
      <c r="L89" s="50">
        <v>0</v>
      </c>
      <c r="M89" s="50">
        <v>0</v>
      </c>
      <c r="N89" s="50">
        <v>0</v>
      </c>
      <c r="O89" s="50">
        <v>0</v>
      </c>
      <c r="P89" s="50">
        <v>0</v>
      </c>
      <c r="Q89" s="50">
        <v>0</v>
      </c>
      <c r="R89" s="50">
        <v>0</v>
      </c>
      <c r="S89" s="50">
        <v>0</v>
      </c>
      <c r="V89" s="15" t="s">
        <v>481</v>
      </c>
    </row>
    <row r="90" spans="2:22" x14ac:dyDescent="0.35">
      <c r="B90" s="40" t="s">
        <v>271</v>
      </c>
      <c r="C90" s="59" t="s">
        <v>167</v>
      </c>
      <c r="E90" s="80">
        <f>Hist!E19</f>
        <v>-254.7</v>
      </c>
      <c r="F90" s="80">
        <f>Hist!F19</f>
        <v>-258</v>
      </c>
      <c r="G90" s="80">
        <f>Hist!G19</f>
        <v>-261.2</v>
      </c>
      <c r="H90" s="80">
        <f>Hist!H19</f>
        <v>-279.60000000000002</v>
      </c>
      <c r="I90" s="80">
        <f>Hist!I19</f>
        <v>-300</v>
      </c>
      <c r="J90" s="80">
        <f>Hist!J19</f>
        <v>-318.89999999999998</v>
      </c>
      <c r="K90" s="80">
        <f>Hist!K19</f>
        <v>-339</v>
      </c>
      <c r="L90" s="49">
        <f>L81*(1-Drivers!L85)</f>
        <v>-359.81808224299067</v>
      </c>
      <c r="M90" s="49">
        <f>M81*(1-Drivers!M85)</f>
        <v>-381.26438222429908</v>
      </c>
      <c r="N90" s="49">
        <f>N81*(1-Drivers!N85)</f>
        <v>-402.82048383467281</v>
      </c>
      <c r="O90" s="49">
        <f>O81*(1-Drivers!O85)</f>
        <v>-424.3357356898083</v>
      </c>
      <c r="P90" s="49">
        <f>P81*(1-Drivers!P85)</f>
        <v>-444.87023991172686</v>
      </c>
      <c r="Q90" s="49">
        <f>Q81*(1-Drivers!Q85)</f>
        <v>-464.31639340076873</v>
      </c>
      <c r="R90" s="49">
        <f>R81*(1-Drivers!R85)</f>
        <v>-482.56069790242236</v>
      </c>
      <c r="S90" s="49">
        <f>S81*(1-Drivers!S85)</f>
        <v>-500.45526209281184</v>
      </c>
    </row>
    <row r="91" spans="2:22" x14ac:dyDescent="0.35">
      <c r="B91" s="61" t="s">
        <v>482</v>
      </c>
      <c r="C91" s="62" t="s">
        <v>167</v>
      </c>
      <c r="D91" s="63"/>
      <c r="E91" s="64">
        <f t="shared" ref="E91:S91" si="56">E78+E84+E90+E89</f>
        <v>620.89999999999964</v>
      </c>
      <c r="F91" s="64">
        <f t="shared" si="56"/>
        <v>355.9</v>
      </c>
      <c r="G91" s="64">
        <f t="shared" si="56"/>
        <v>509.09999999999997</v>
      </c>
      <c r="H91" s="64">
        <f t="shared" si="56"/>
        <v>649.49999999999977</v>
      </c>
      <c r="I91" s="64">
        <f t="shared" si="56"/>
        <v>767.39999999999964</v>
      </c>
      <c r="J91" s="64">
        <f t="shared" si="56"/>
        <v>907.1</v>
      </c>
      <c r="K91" s="64">
        <f t="shared" si="56"/>
        <v>1035.5</v>
      </c>
      <c r="L91" s="64">
        <f t="shared" si="56"/>
        <v>1089.5506253254534</v>
      </c>
      <c r="M91" s="64">
        <f t="shared" si="56"/>
        <v>1170.4972559793987</v>
      </c>
      <c r="N91" s="64">
        <f t="shared" si="56"/>
        <v>1268.408189896111</v>
      </c>
      <c r="O91" s="64">
        <f t="shared" si="56"/>
        <v>1367.2064339474186</v>
      </c>
      <c r="P91" s="64">
        <f t="shared" si="56"/>
        <v>1462.5782405210946</v>
      </c>
      <c r="Q91" s="64">
        <f t="shared" si="56"/>
        <v>1549.5334084097763</v>
      </c>
      <c r="R91" s="64">
        <f t="shared" si="56"/>
        <v>1626.9700224540134</v>
      </c>
      <c r="S91" s="64">
        <f t="shared" si="56"/>
        <v>1696.4192383216216</v>
      </c>
      <c r="T91" s="63"/>
    </row>
    <row r="92" spans="2:22" x14ac:dyDescent="0.35">
      <c r="B92" s="65" t="s">
        <v>483</v>
      </c>
      <c r="C92" s="59" t="s">
        <v>323</v>
      </c>
      <c r="E92" s="69">
        <f t="shared" ref="E92:S92" si="57">E91/E67</f>
        <v>0.16382585751978881</v>
      </c>
      <c r="F92" s="69">
        <f t="shared" si="57"/>
        <v>0.1026239907727797</v>
      </c>
      <c r="G92" s="69">
        <f t="shared" si="57"/>
        <v>0.13879498364231188</v>
      </c>
      <c r="H92" s="69">
        <f t="shared" si="57"/>
        <v>0.15239324260910364</v>
      </c>
      <c r="I92" s="69">
        <f t="shared" si="57"/>
        <v>0.16372946447621073</v>
      </c>
      <c r="J92" s="69">
        <f t="shared" si="57"/>
        <v>0.1798017839444995</v>
      </c>
      <c r="K92" s="69">
        <f t="shared" si="57"/>
        <v>0.19059451500092031</v>
      </c>
      <c r="L92" s="69">
        <f t="shared" si="57"/>
        <v>0.19026639779112187</v>
      </c>
      <c r="M92" s="69">
        <f t="shared" si="57"/>
        <v>0.19239439770812139</v>
      </c>
      <c r="N92" s="69">
        <f t="shared" si="57"/>
        <v>0.19577136555383098</v>
      </c>
      <c r="O92" s="69">
        <f t="shared" si="57"/>
        <v>0.19884079201153398</v>
      </c>
      <c r="P92" s="69">
        <f t="shared" si="57"/>
        <v>0.20151426126210259</v>
      </c>
      <c r="Q92" s="69">
        <f t="shared" si="57"/>
        <v>0.20352954474491528</v>
      </c>
      <c r="R92" s="69">
        <f t="shared" si="57"/>
        <v>0.2049384528982231</v>
      </c>
      <c r="S92" s="69">
        <f t="shared" si="57"/>
        <v>0.20577187387302628</v>
      </c>
    </row>
    <row r="93" spans="2:22" ht="8" customHeight="1" x14ac:dyDescent="0.35"/>
    <row r="94" spans="2:22" x14ac:dyDescent="0.35">
      <c r="B94" s="40" t="s">
        <v>273</v>
      </c>
      <c r="C94" s="59" t="s">
        <v>167</v>
      </c>
      <c r="E94" s="80">
        <f>Hist!E22</f>
        <v>-60.3</v>
      </c>
      <c r="F94" s="80">
        <f>Hist!F22</f>
        <v>-49.2</v>
      </c>
      <c r="G94" s="80">
        <f>Hist!G22</f>
        <v>-44.2</v>
      </c>
      <c r="H94" s="80">
        <f>Hist!H22</f>
        <v>-55</v>
      </c>
      <c r="I94" s="80">
        <f>Hist!I22</f>
        <v>-84</v>
      </c>
      <c r="J94" s="80">
        <f>Hist!J22</f>
        <v>-82.1</v>
      </c>
      <c r="K94" s="80">
        <f>Hist!K22</f>
        <v>-80.400000000000006</v>
      </c>
      <c r="L94" s="49">
        <f>-K135*IF(K135&gt;0,Drivers!L83,Drivers!L84)</f>
        <v>-54.373000000000005</v>
      </c>
      <c r="M94" s="49">
        <f>-L135*IF(L135&gt;0,Drivers!M83,Drivers!M84)</f>
        <v>-48.810832783721864</v>
      </c>
      <c r="N94" s="49">
        <f>-M135*IF(M135&gt;0,Drivers!N83,Drivers!N84)</f>
        <v>-50.357634004852841</v>
      </c>
      <c r="O94" s="49">
        <f>-N135*IF(N135&gt;0,Drivers!O83,Drivers!O84)</f>
        <v>-54.479261545371415</v>
      </c>
      <c r="P94" s="49">
        <f>-O135*IF(O135&gt;0,Drivers!P83,Drivers!P84)</f>
        <v>-58.637304123475815</v>
      </c>
      <c r="Q94" s="49">
        <f>-P135*IF(P135&gt;0,Drivers!Q83,Drivers!Q84)</f>
        <v>-62.651625072208617</v>
      </c>
      <c r="R94" s="49">
        <f>-Q135*IF(Q135&gt;0,Drivers!R83,Drivers!R84)</f>
        <v>-66.316497236346436</v>
      </c>
      <c r="S94" s="49">
        <f>-R135*IF(R135&gt;0,Drivers!S83,Drivers!S84)</f>
        <v>-69.586426597052807</v>
      </c>
      <c r="V94" s="15" t="s">
        <v>484</v>
      </c>
    </row>
    <row r="95" spans="2:22" x14ac:dyDescent="0.35">
      <c r="B95" s="40" t="s">
        <v>274</v>
      </c>
      <c r="C95" s="59" t="s">
        <v>167</v>
      </c>
      <c r="E95" s="80">
        <f>Hist!E23</f>
        <v>-63.7</v>
      </c>
      <c r="F95" s="80">
        <f>Hist!F23</f>
        <v>-64.5</v>
      </c>
      <c r="G95" s="80">
        <f>Hist!G23</f>
        <v>-65.3</v>
      </c>
      <c r="H95" s="80">
        <f>Hist!H23</f>
        <v>-69.900000000000006</v>
      </c>
      <c r="I95" s="80">
        <f>Hist!I23</f>
        <v>-75</v>
      </c>
      <c r="J95" s="80">
        <f>Hist!J23</f>
        <v>-79.7</v>
      </c>
      <c r="K95" s="80">
        <f>Hist!K23</f>
        <v>-84.8</v>
      </c>
      <c r="L95" s="49">
        <f>L81*Drivers!L85</f>
        <v>-89.954520560747667</v>
      </c>
      <c r="M95" s="49">
        <f>M81*Drivers!M85</f>
        <v>-95.316095556074771</v>
      </c>
      <c r="N95" s="49">
        <f>N81*Drivers!N85</f>
        <v>-100.7051209586682</v>
      </c>
      <c r="O95" s="49">
        <f>O81*Drivers!O85</f>
        <v>-106.08393392245208</v>
      </c>
      <c r="P95" s="49">
        <f>P81*Drivers!P85</f>
        <v>-111.21755997793171</v>
      </c>
      <c r="Q95" s="49">
        <f>Q81*Drivers!Q85</f>
        <v>-116.07909835019218</v>
      </c>
      <c r="R95" s="49">
        <f>R81*Drivers!R85</f>
        <v>-120.64017447560559</v>
      </c>
      <c r="S95" s="49">
        <f>S81*Drivers!S85</f>
        <v>-125.11381552320296</v>
      </c>
    </row>
    <row r="96" spans="2:22" x14ac:dyDescent="0.35">
      <c r="B96" s="61" t="s">
        <v>275</v>
      </c>
      <c r="C96" s="62" t="s">
        <v>167</v>
      </c>
      <c r="D96" s="63"/>
      <c r="E96" s="64">
        <f t="shared" ref="E96:S96" si="58">E91+E94+E95</f>
        <v>496.89999999999969</v>
      </c>
      <c r="F96" s="64">
        <f t="shared" si="58"/>
        <v>242.2</v>
      </c>
      <c r="G96" s="64">
        <f t="shared" si="58"/>
        <v>399.59999999999997</v>
      </c>
      <c r="H96" s="64">
        <f t="shared" si="58"/>
        <v>524.5999999999998</v>
      </c>
      <c r="I96" s="64">
        <f t="shared" si="58"/>
        <v>608.39999999999964</v>
      </c>
      <c r="J96" s="64">
        <f t="shared" si="58"/>
        <v>745.3</v>
      </c>
      <c r="K96" s="64">
        <f t="shared" si="58"/>
        <v>870.30000000000007</v>
      </c>
      <c r="L96" s="64">
        <f t="shared" si="58"/>
        <v>945.22310476470568</v>
      </c>
      <c r="M96" s="64">
        <f t="shared" si="58"/>
        <v>1026.370327639602</v>
      </c>
      <c r="N96" s="64">
        <f t="shared" si="58"/>
        <v>1117.34543493259</v>
      </c>
      <c r="O96" s="64">
        <f t="shared" si="58"/>
        <v>1206.6432384795951</v>
      </c>
      <c r="P96" s="64">
        <f t="shared" si="58"/>
        <v>1292.7233764196872</v>
      </c>
      <c r="Q96" s="64">
        <f t="shared" si="58"/>
        <v>1370.8026849873754</v>
      </c>
      <c r="R96" s="64">
        <f t="shared" si="58"/>
        <v>1440.0133507420612</v>
      </c>
      <c r="S96" s="64">
        <f t="shared" si="58"/>
        <v>1501.7189962013658</v>
      </c>
      <c r="T96" s="63"/>
    </row>
    <row r="97" spans="2:22" x14ac:dyDescent="0.35">
      <c r="B97" s="40" t="s">
        <v>276</v>
      </c>
      <c r="C97" s="59" t="s">
        <v>167</v>
      </c>
      <c r="E97" s="80">
        <f>Hist!E25</f>
        <v>-114.3</v>
      </c>
      <c r="F97" s="80">
        <f>Hist!F25</f>
        <v>-61.3</v>
      </c>
      <c r="G97" s="80">
        <f>Hist!G25</f>
        <v>-87.9</v>
      </c>
      <c r="H97" s="80">
        <f>Hist!H25</f>
        <v>-115.4</v>
      </c>
      <c r="I97" s="80">
        <f>Hist!I25</f>
        <v>-133.80000000000001</v>
      </c>
      <c r="J97" s="80">
        <f>Hist!J25</f>
        <v>-164</v>
      </c>
      <c r="K97" s="80">
        <f>Hist!K25</f>
        <v>-191.5</v>
      </c>
      <c r="L97" s="49">
        <f>-L96*Drivers!L81</f>
        <v>-207.94908304823525</v>
      </c>
      <c r="M97" s="49">
        <f>-M96*Drivers!M81</f>
        <v>-225.80147208071244</v>
      </c>
      <c r="N97" s="49">
        <f>-N96*Drivers!N81</f>
        <v>-245.81599568516981</v>
      </c>
      <c r="O97" s="49">
        <f>-O96*Drivers!O81</f>
        <v>-265.46151246551091</v>
      </c>
      <c r="P97" s="49">
        <f>-P96*Drivers!P81</f>
        <v>-284.39914281233115</v>
      </c>
      <c r="Q97" s="49">
        <f>-Q96*Drivers!Q81</f>
        <v>-301.57659069722257</v>
      </c>
      <c r="R97" s="49">
        <f>-R96*Drivers!R81</f>
        <v>-316.80293716325349</v>
      </c>
      <c r="S97" s="49">
        <f>-S96*Drivers!S81</f>
        <v>-330.37817916430049</v>
      </c>
    </row>
    <row r="98" spans="2:22" x14ac:dyDescent="0.35">
      <c r="B98" s="61" t="s">
        <v>277</v>
      </c>
      <c r="C98" s="62" t="s">
        <v>167</v>
      </c>
      <c r="D98" s="63"/>
      <c r="E98" s="64">
        <f t="shared" ref="E98:S98" si="59">E96+E97</f>
        <v>382.59999999999968</v>
      </c>
      <c r="F98" s="64">
        <f t="shared" si="59"/>
        <v>180.89999999999998</v>
      </c>
      <c r="G98" s="64">
        <f t="shared" si="59"/>
        <v>311.69999999999993</v>
      </c>
      <c r="H98" s="64">
        <f t="shared" si="59"/>
        <v>409.19999999999982</v>
      </c>
      <c r="I98" s="64">
        <f t="shared" si="59"/>
        <v>474.59999999999962</v>
      </c>
      <c r="J98" s="64">
        <f t="shared" si="59"/>
        <v>581.29999999999995</v>
      </c>
      <c r="K98" s="64">
        <f t="shared" si="59"/>
        <v>678.80000000000007</v>
      </c>
      <c r="L98" s="64">
        <f t="shared" si="59"/>
        <v>737.27402171647043</v>
      </c>
      <c r="M98" s="64">
        <f t="shared" si="59"/>
        <v>800.5688555588896</v>
      </c>
      <c r="N98" s="64">
        <f t="shared" si="59"/>
        <v>871.52943924742021</v>
      </c>
      <c r="O98" s="64">
        <f t="shared" si="59"/>
        <v>941.18172601408423</v>
      </c>
      <c r="P98" s="64">
        <f t="shared" si="59"/>
        <v>1008.3242336073561</v>
      </c>
      <c r="Q98" s="64">
        <f t="shared" si="59"/>
        <v>1069.2260942901528</v>
      </c>
      <c r="R98" s="64">
        <f t="shared" si="59"/>
        <v>1123.2104135788077</v>
      </c>
      <c r="S98" s="64">
        <f t="shared" si="59"/>
        <v>1171.3408170370653</v>
      </c>
      <c r="T98" s="63"/>
    </row>
    <row r="99" spans="2:22" x14ac:dyDescent="0.35">
      <c r="B99" s="40" t="s">
        <v>209</v>
      </c>
      <c r="C99" s="59" t="s">
        <v>167</v>
      </c>
      <c r="E99" s="80">
        <f>Hist!E27</f>
        <v>-3.8</v>
      </c>
      <c r="F99" s="80">
        <f>Hist!F27</f>
        <v>-1.8</v>
      </c>
      <c r="G99" s="80">
        <f>Hist!G27</f>
        <v>-3.1</v>
      </c>
      <c r="H99" s="80">
        <f>Hist!H27</f>
        <v>-4.0999999999999996</v>
      </c>
      <c r="I99" s="80">
        <f>Hist!I27</f>
        <v>-4.7</v>
      </c>
      <c r="J99" s="80">
        <f>Hist!J27</f>
        <v>-5.8</v>
      </c>
      <c r="K99" s="80">
        <f>Hist!K27</f>
        <v>-6.8</v>
      </c>
      <c r="L99" s="49">
        <f>-L98*Drivers!L86</f>
        <v>-7.3727402171647043</v>
      </c>
      <c r="M99" s="49">
        <f>-M98*Drivers!M86</f>
        <v>-8.0056885555888968</v>
      </c>
      <c r="N99" s="49">
        <f>-N98*Drivers!N86</f>
        <v>-8.7152943924742026</v>
      </c>
      <c r="O99" s="49">
        <f>-O98*Drivers!O86</f>
        <v>-9.4118172601408432</v>
      </c>
      <c r="P99" s="49">
        <f>-P98*Drivers!P86</f>
        <v>-10.08324233607356</v>
      </c>
      <c r="Q99" s="49">
        <f>-Q98*Drivers!Q86</f>
        <v>-10.692260942901529</v>
      </c>
      <c r="R99" s="49">
        <f>-R98*Drivers!R86</f>
        <v>-11.232104135788077</v>
      </c>
      <c r="S99" s="49">
        <f>-S98*Drivers!S86</f>
        <v>-11.713408170370654</v>
      </c>
    </row>
    <row r="100" spans="2:22" x14ac:dyDescent="0.35">
      <c r="B100" s="103" t="s">
        <v>278</v>
      </c>
      <c r="C100" s="104" t="s">
        <v>167</v>
      </c>
      <c r="D100" s="105"/>
      <c r="E100" s="106">
        <f t="shared" ref="E100:S100" si="60">E98+E99</f>
        <v>378.79999999999967</v>
      </c>
      <c r="F100" s="106">
        <f t="shared" si="60"/>
        <v>179.09999999999997</v>
      </c>
      <c r="G100" s="106">
        <f t="shared" si="60"/>
        <v>308.59999999999991</v>
      </c>
      <c r="H100" s="106">
        <f t="shared" si="60"/>
        <v>405.0999999999998</v>
      </c>
      <c r="I100" s="106">
        <f t="shared" si="60"/>
        <v>469.89999999999964</v>
      </c>
      <c r="J100" s="106">
        <f t="shared" si="60"/>
        <v>575.5</v>
      </c>
      <c r="K100" s="106">
        <f t="shared" si="60"/>
        <v>672.00000000000011</v>
      </c>
      <c r="L100" s="106">
        <f t="shared" si="60"/>
        <v>729.9012814993057</v>
      </c>
      <c r="M100" s="106">
        <f t="shared" si="60"/>
        <v>792.56316700330069</v>
      </c>
      <c r="N100" s="106">
        <f t="shared" si="60"/>
        <v>862.81414485494599</v>
      </c>
      <c r="O100" s="106">
        <f t="shared" si="60"/>
        <v>931.76990875394335</v>
      </c>
      <c r="P100" s="106">
        <f t="shared" si="60"/>
        <v>998.2409912712825</v>
      </c>
      <c r="Q100" s="106">
        <f t="shared" si="60"/>
        <v>1058.5338333472512</v>
      </c>
      <c r="R100" s="106">
        <f t="shared" si="60"/>
        <v>1111.9783094430195</v>
      </c>
      <c r="S100" s="106">
        <f t="shared" si="60"/>
        <v>1159.6274088666946</v>
      </c>
      <c r="T100" s="105"/>
    </row>
    <row r="101" spans="2:22" x14ac:dyDescent="0.35">
      <c r="B101" s="65" t="s">
        <v>485</v>
      </c>
      <c r="C101" s="59" t="s">
        <v>323</v>
      </c>
      <c r="E101" s="69">
        <f t="shared" ref="E101:S101" si="61">E100/E67</f>
        <v>9.9947229551451106E-2</v>
      </c>
      <c r="F101" s="69">
        <f t="shared" si="61"/>
        <v>5.1643598615916948E-2</v>
      </c>
      <c r="G101" s="69">
        <f t="shared" si="61"/>
        <v>8.4133042529989072E-2</v>
      </c>
      <c r="H101" s="69">
        <f t="shared" si="61"/>
        <v>9.5049272641952093E-2</v>
      </c>
      <c r="I101" s="69">
        <f t="shared" si="61"/>
        <v>0.10025602730957961</v>
      </c>
      <c r="J101" s="69">
        <f t="shared" si="61"/>
        <v>0.11407333994053519</v>
      </c>
      <c r="K101" s="69">
        <f t="shared" si="61"/>
        <v>0.12368856985091112</v>
      </c>
      <c r="L101" s="69">
        <f t="shared" si="61"/>
        <v>0.12746143625268788</v>
      </c>
      <c r="M101" s="69">
        <f t="shared" si="61"/>
        <v>0.13027344778664315</v>
      </c>
      <c r="N101" s="69">
        <f t="shared" si="61"/>
        <v>0.13317030330058705</v>
      </c>
      <c r="O101" s="69">
        <f t="shared" si="61"/>
        <v>0.13551272289892857</v>
      </c>
      <c r="P101" s="69">
        <f t="shared" si="61"/>
        <v>0.1375378016330335</v>
      </c>
      <c r="Q101" s="69">
        <f t="shared" si="61"/>
        <v>0.13903727924095319</v>
      </c>
      <c r="R101" s="69">
        <f t="shared" si="61"/>
        <v>0.14006841628827571</v>
      </c>
      <c r="S101" s="69">
        <f t="shared" si="61"/>
        <v>0.14066022096819819</v>
      </c>
    </row>
    <row r="102" spans="2:22" ht="8" customHeight="1" x14ac:dyDescent="0.35"/>
    <row r="103" spans="2:22" x14ac:dyDescent="0.35">
      <c r="B103" s="18" t="s">
        <v>486</v>
      </c>
      <c r="C103" s="85"/>
      <c r="D103" s="85"/>
      <c r="E103" s="85"/>
      <c r="F103" s="85"/>
      <c r="G103" s="85"/>
      <c r="H103" s="85"/>
      <c r="I103" s="85"/>
      <c r="J103" s="85"/>
      <c r="K103" s="85"/>
      <c r="L103" s="85"/>
      <c r="M103" s="85"/>
      <c r="N103" s="85"/>
      <c r="O103" s="85"/>
      <c r="P103" s="85"/>
      <c r="Q103" s="85"/>
      <c r="R103" s="85"/>
      <c r="S103" s="85"/>
      <c r="T103" s="85"/>
    </row>
    <row r="104" spans="2:22" x14ac:dyDescent="0.35">
      <c r="B104" s="40" t="s">
        <v>194</v>
      </c>
      <c r="C104" s="59" t="s">
        <v>190</v>
      </c>
      <c r="E104" s="101">
        <f>Hist!E82</f>
        <v>85</v>
      </c>
      <c r="F104" s="101">
        <f>Hist!F82</f>
        <v>85</v>
      </c>
      <c r="G104" s="101">
        <f>Hist!G82</f>
        <v>85</v>
      </c>
      <c r="H104" s="101">
        <f>Hist!H82</f>
        <v>85</v>
      </c>
      <c r="I104" s="101">
        <f>Hist!I82</f>
        <v>85</v>
      </c>
      <c r="J104" s="101">
        <f>Hist!J82</f>
        <v>85</v>
      </c>
      <c r="K104" s="101">
        <f>Hist!K82</f>
        <v>85</v>
      </c>
      <c r="L104" s="48">
        <f>Inputs!$C$31+L134/L133</f>
        <v>85.151424464696134</v>
      </c>
      <c r="M104" s="48">
        <f t="shared" ref="M104:S104" si="62">L104+M134/M133</f>
        <v>83.583313500974782</v>
      </c>
      <c r="N104" s="48">
        <f t="shared" si="62"/>
        <v>82.123959262800184</v>
      </c>
      <c r="O104" s="48">
        <f t="shared" si="62"/>
        <v>80.801072065855934</v>
      </c>
      <c r="P104" s="48">
        <f t="shared" si="62"/>
        <v>79.668734456143127</v>
      </c>
      <c r="Q104" s="48">
        <f t="shared" si="62"/>
        <v>78.781135835276842</v>
      </c>
      <c r="R104" s="48">
        <f t="shared" si="62"/>
        <v>78.145255800452532</v>
      </c>
      <c r="S104" s="48">
        <f t="shared" si="62"/>
        <v>77.60741609021504</v>
      </c>
      <c r="V104" s="15" t="s">
        <v>487</v>
      </c>
    </row>
    <row r="105" spans="2:22" x14ac:dyDescent="0.35">
      <c r="B105" s="11" t="s">
        <v>347</v>
      </c>
      <c r="C105" s="59" t="s">
        <v>165</v>
      </c>
      <c r="E105" s="108">
        <f t="shared" ref="E105:S105" si="63">E100/E104</f>
        <v>4.4564705882352902</v>
      </c>
      <c r="F105" s="108">
        <f t="shared" si="63"/>
        <v>2.1070588235294112</v>
      </c>
      <c r="G105" s="108">
        <f t="shared" si="63"/>
        <v>3.6305882352941166</v>
      </c>
      <c r="H105" s="108">
        <f t="shared" si="63"/>
        <v>4.7658823529411745</v>
      </c>
      <c r="I105" s="108">
        <f t="shared" si="63"/>
        <v>5.5282352941176427</v>
      </c>
      <c r="J105" s="108">
        <f t="shared" si="63"/>
        <v>6.7705882352941176</v>
      </c>
      <c r="K105" s="108">
        <f t="shared" si="63"/>
        <v>7.9058823529411777</v>
      </c>
      <c r="L105" s="108">
        <f t="shared" si="63"/>
        <v>8.5718035380831878</v>
      </c>
      <c r="M105" s="108">
        <f t="shared" si="63"/>
        <v>9.4823133207569885</v>
      </c>
      <c r="N105" s="108">
        <f t="shared" si="63"/>
        <v>10.506241450121808</v>
      </c>
      <c r="O105" s="108">
        <f t="shared" si="63"/>
        <v>11.531652797805895</v>
      </c>
      <c r="P105" s="108">
        <f t="shared" si="63"/>
        <v>12.529896427823948</v>
      </c>
      <c r="Q105" s="108">
        <f t="shared" si="63"/>
        <v>13.436387050328079</v>
      </c>
      <c r="R105" s="108">
        <f t="shared" si="63"/>
        <v>14.229632983510948</v>
      </c>
      <c r="S105" s="108">
        <f t="shared" si="63"/>
        <v>14.942224175054111</v>
      </c>
    </row>
    <row r="106" spans="2:22" x14ac:dyDescent="0.35">
      <c r="B106" s="65" t="s">
        <v>488</v>
      </c>
      <c r="C106" s="59" t="s">
        <v>323</v>
      </c>
      <c r="F106" s="69">
        <f t="shared" ref="F106:S106" si="64">IF(E105&lt;=0,"n.m.",F105/E105-1)</f>
        <v>-0.52719112988384342</v>
      </c>
      <c r="G106" s="69">
        <f t="shared" si="64"/>
        <v>0.72305974316024568</v>
      </c>
      <c r="H106" s="69">
        <f t="shared" si="64"/>
        <v>0.31270252754374583</v>
      </c>
      <c r="I106" s="69">
        <f t="shared" si="64"/>
        <v>0.15996050357936276</v>
      </c>
      <c r="J106" s="69">
        <f t="shared" si="64"/>
        <v>0.22472866567354854</v>
      </c>
      <c r="K106" s="69">
        <f t="shared" si="64"/>
        <v>0.167680278019114</v>
      </c>
      <c r="L106" s="69">
        <f t="shared" si="64"/>
        <v>8.4231102287307902E-2</v>
      </c>
      <c r="M106" s="69">
        <f t="shared" si="64"/>
        <v>0.10622149453479035</v>
      </c>
      <c r="N106" s="69">
        <f t="shared" si="64"/>
        <v>0.10798294622087812</v>
      </c>
      <c r="O106" s="69">
        <f t="shared" si="64"/>
        <v>9.7600207700556885E-2</v>
      </c>
      <c r="P106" s="69">
        <f t="shared" si="64"/>
        <v>8.6565529462349522E-2</v>
      </c>
      <c r="Q106" s="69">
        <f t="shared" si="64"/>
        <v>7.2346218320781475E-2</v>
      </c>
      <c r="R106" s="69">
        <f t="shared" si="64"/>
        <v>5.9037145194734464E-2</v>
      </c>
      <c r="S106" s="69">
        <f t="shared" si="64"/>
        <v>5.0077974067841424E-2</v>
      </c>
    </row>
    <row r="107" spans="2:22" x14ac:dyDescent="0.35">
      <c r="B107" s="40" t="s">
        <v>489</v>
      </c>
      <c r="C107" s="59" t="s">
        <v>165</v>
      </c>
      <c r="E107" s="109">
        <f>Hist!E83</f>
        <v>0</v>
      </c>
      <c r="F107" s="109">
        <f>Hist!F83</f>
        <v>0</v>
      </c>
      <c r="G107" s="109">
        <f>Hist!G83</f>
        <v>2.5</v>
      </c>
      <c r="H107" s="109">
        <f>Hist!H83</f>
        <v>3.5</v>
      </c>
      <c r="I107" s="109">
        <f>Hist!I83</f>
        <v>4.2</v>
      </c>
      <c r="J107" s="109">
        <f>Hist!J83</f>
        <v>4.8</v>
      </c>
      <c r="K107" s="109">
        <f>Hist!K83</f>
        <v>5.4</v>
      </c>
      <c r="L107" s="74">
        <f>MAX(0,L105*Drivers!L82)</f>
        <v>5.5716722997540726</v>
      </c>
      <c r="M107" s="74">
        <f>MAX(0,M105*Drivers!M82)</f>
        <v>6.6376193245298918</v>
      </c>
      <c r="N107" s="74">
        <f>MAX(0,N105*Drivers!N82)</f>
        <v>7.8796810875913561</v>
      </c>
      <c r="O107" s="74">
        <f>MAX(0,O105*Drivers!O82)</f>
        <v>9.2253222382447166</v>
      </c>
      <c r="P107" s="74">
        <f>MAX(0,P105*Drivers!P82)</f>
        <v>10.650411963650356</v>
      </c>
      <c r="Q107" s="74">
        <f>MAX(0,Q105*Drivers!Q82)</f>
        <v>12.092748345295272</v>
      </c>
      <c r="R107" s="74">
        <f>MAX(0,R105*Drivers!R82)</f>
        <v>12.806669685159854</v>
      </c>
      <c r="S107" s="74">
        <f>MAX(0,S105*Drivers!S82)</f>
        <v>13.448001757548701</v>
      </c>
    </row>
    <row r="108" spans="2:22" x14ac:dyDescent="0.35">
      <c r="B108" s="65" t="s">
        <v>348</v>
      </c>
      <c r="C108" s="59" t="s">
        <v>323</v>
      </c>
      <c r="E108" s="69">
        <f t="shared" ref="E108:S108" si="65">IF(E105&lt;=0,0,E107/E105)</f>
        <v>0</v>
      </c>
      <c r="F108" s="69">
        <f t="shared" si="65"/>
        <v>0</v>
      </c>
      <c r="G108" s="69">
        <f t="shared" si="65"/>
        <v>0.6885936487362283</v>
      </c>
      <c r="H108" s="69">
        <f t="shared" si="65"/>
        <v>0.73438657121698381</v>
      </c>
      <c r="I108" s="69">
        <f t="shared" si="65"/>
        <v>0.7597361140668234</v>
      </c>
      <c r="J108" s="69">
        <f t="shared" si="65"/>
        <v>0.70894874022589049</v>
      </c>
      <c r="K108" s="69">
        <f t="shared" si="65"/>
        <v>0.68303571428571419</v>
      </c>
      <c r="L108" s="69">
        <f t="shared" si="65"/>
        <v>0.65</v>
      </c>
      <c r="M108" s="69">
        <f t="shared" si="65"/>
        <v>0.7</v>
      </c>
      <c r="N108" s="69">
        <f t="shared" si="65"/>
        <v>0.75</v>
      </c>
      <c r="O108" s="69">
        <f t="shared" si="65"/>
        <v>0.8</v>
      </c>
      <c r="P108" s="69">
        <f t="shared" si="65"/>
        <v>0.85000000000000009</v>
      </c>
      <c r="Q108" s="69">
        <f t="shared" si="65"/>
        <v>0.9</v>
      </c>
      <c r="R108" s="69">
        <f t="shared" si="65"/>
        <v>0.9</v>
      </c>
      <c r="S108" s="69">
        <f t="shared" si="65"/>
        <v>0.9</v>
      </c>
    </row>
    <row r="109" spans="2:22" ht="8" customHeight="1" x14ac:dyDescent="0.35"/>
    <row r="110" spans="2:22" ht="14.5" customHeight="1" x14ac:dyDescent="0.35">
      <c r="B110" s="9" t="s">
        <v>490</v>
      </c>
      <c r="C110" s="9"/>
      <c r="D110" s="9"/>
      <c r="E110" s="9"/>
      <c r="F110" s="9"/>
      <c r="G110" s="9"/>
      <c r="H110" s="9"/>
      <c r="I110" s="9"/>
      <c r="J110" s="9"/>
      <c r="K110" s="9"/>
      <c r="L110" s="9"/>
      <c r="M110" s="9"/>
      <c r="N110" s="9"/>
      <c r="O110" s="9"/>
      <c r="P110" s="9"/>
      <c r="Q110" s="9"/>
      <c r="R110" s="9"/>
      <c r="S110" s="9"/>
      <c r="T110" s="9"/>
    </row>
    <row r="111" spans="2:22" ht="5" customHeight="1" x14ac:dyDescent="0.35"/>
    <row r="112" spans="2:22" x14ac:dyDescent="0.35">
      <c r="B112" s="40" t="s">
        <v>340</v>
      </c>
      <c r="C112" s="59" t="s">
        <v>167</v>
      </c>
      <c r="E112" s="80">
        <f>Hist!E123</f>
        <v>-227.40000000000003</v>
      </c>
      <c r="F112" s="80">
        <f>Hist!F123</f>
        <v>-180.3</v>
      </c>
      <c r="G112" s="80">
        <f>Hist!G123</f>
        <v>-205.40000000000003</v>
      </c>
      <c r="H112" s="80">
        <f>Hist!H123</f>
        <v>-260.00000000000006</v>
      </c>
      <c r="I112" s="80">
        <f>Hist!I123</f>
        <v>-295.3</v>
      </c>
      <c r="J112" s="80">
        <f>Hist!J123</f>
        <v>-322.90000000000003</v>
      </c>
      <c r="K112" s="80">
        <f>Hist!K123</f>
        <v>-353.09999999999997</v>
      </c>
      <c r="L112" s="49">
        <f>L67*Drivers!L80</f>
        <v>-372.21911734463441</v>
      </c>
      <c r="M112" s="49">
        <f>M67*Drivers!M80</f>
        <v>-395.44977683853477</v>
      </c>
      <c r="N112" s="49">
        <f>N67*Drivers!N80</f>
        <v>-421.13683025098481</v>
      </c>
      <c r="O112" s="49">
        <f>O67*Drivers!O80</f>
        <v>-446.93252982731684</v>
      </c>
      <c r="P112" s="49">
        <f>P67*Drivers!P80</f>
        <v>-471.76604295127305</v>
      </c>
      <c r="Q112" s="49">
        <f>Q67*Drivers!Q80</f>
        <v>-494.86511490441347</v>
      </c>
      <c r="R112" s="49">
        <f>R67*Drivers!R80</f>
        <v>-516.02346930973533</v>
      </c>
      <c r="S112" s="49">
        <f>S67*Drivers!S80</f>
        <v>-535.87134342250772</v>
      </c>
    </row>
    <row r="113" spans="2:22" x14ac:dyDescent="0.35">
      <c r="B113" s="40" t="s">
        <v>491</v>
      </c>
      <c r="C113" s="59" t="s">
        <v>167</v>
      </c>
      <c r="F113" s="49">
        <f t="shared" ref="F113:S113" si="66">F112-E112</f>
        <v>47.100000000000023</v>
      </c>
      <c r="G113" s="49">
        <f t="shared" si="66"/>
        <v>-25.100000000000023</v>
      </c>
      <c r="H113" s="49">
        <f t="shared" si="66"/>
        <v>-54.600000000000023</v>
      </c>
      <c r="I113" s="49">
        <f t="shared" si="66"/>
        <v>-35.299999999999955</v>
      </c>
      <c r="J113" s="49">
        <f t="shared" si="66"/>
        <v>-27.600000000000023</v>
      </c>
      <c r="K113" s="49">
        <f t="shared" si="66"/>
        <v>-30.199999999999932</v>
      </c>
      <c r="L113" s="49">
        <f t="shared" si="66"/>
        <v>-19.119117344634446</v>
      </c>
      <c r="M113" s="49">
        <f t="shared" si="66"/>
        <v>-23.230659493900362</v>
      </c>
      <c r="N113" s="49">
        <f t="shared" si="66"/>
        <v>-25.687053412450041</v>
      </c>
      <c r="O113" s="49">
        <f t="shared" si="66"/>
        <v>-25.795699576332026</v>
      </c>
      <c r="P113" s="49">
        <f t="shared" si="66"/>
        <v>-24.833513123956209</v>
      </c>
      <c r="Q113" s="49">
        <f t="shared" si="66"/>
        <v>-23.099071953140424</v>
      </c>
      <c r="R113" s="49">
        <f t="shared" si="66"/>
        <v>-21.158354405321859</v>
      </c>
      <c r="S113" s="49">
        <f t="shared" si="66"/>
        <v>-19.847874112772388</v>
      </c>
    </row>
    <row r="114" spans="2:22" x14ac:dyDescent="0.35">
      <c r="B114" s="99" t="s">
        <v>492</v>
      </c>
      <c r="C114" s="59" t="s">
        <v>167</v>
      </c>
      <c r="L114" s="71">
        <f>-L67*Drivers!L77</f>
        <v>-286.32239795741106</v>
      </c>
      <c r="M114" s="71">
        <f>-M67*Drivers!M77</f>
        <v>-304.19213602964214</v>
      </c>
      <c r="N114" s="71">
        <f>-N67*Drivers!N77</f>
        <v>-323.95140788537293</v>
      </c>
      <c r="O114" s="71">
        <f>-O67*Drivers!O77</f>
        <v>-343.79425371332064</v>
      </c>
      <c r="P114" s="71">
        <f>-P67*Drivers!P77</f>
        <v>-362.89695611636392</v>
      </c>
      <c r="Q114" s="71">
        <f>-Q67*Drivers!Q77</f>
        <v>-380.66547300339499</v>
      </c>
      <c r="R114" s="71">
        <f>-R67*Drivers!R77</f>
        <v>-396.94113023825798</v>
      </c>
      <c r="S114" s="71">
        <f>-S67*Drivers!S77</f>
        <v>-412.20872570962132</v>
      </c>
      <c r="V114" s="15" t="s">
        <v>493</v>
      </c>
    </row>
    <row r="115" spans="2:22" x14ac:dyDescent="0.35">
      <c r="B115" s="99" t="s">
        <v>494</v>
      </c>
      <c r="C115" s="59" t="s">
        <v>167</v>
      </c>
      <c r="L115" s="71">
        <f>IF(Inputs!$C$72=2,-L53*Drivers!L79,-MAX(0,L67-K67)/Drivers!L78)</f>
        <v>-154</v>
      </c>
      <c r="M115" s="71">
        <f>IF(Inputs!$C$72=2,-M53*Drivers!M79,-MAX(0,M67-L67)/Drivers!M78)</f>
        <v>-158.20000000000002</v>
      </c>
      <c r="N115" s="71">
        <f>IF(Inputs!$C$72=2,-N53*Drivers!N79,-MAX(0,N67-M67)/Drivers!N78)</f>
        <v>-161.70000000000002</v>
      </c>
      <c r="O115" s="71">
        <f>IF(Inputs!$C$72=2,-O53*Drivers!O79,-MAX(0,O67-N67)/Drivers!O78)</f>
        <v>-142.19999999999999</v>
      </c>
      <c r="P115" s="71">
        <f>IF(Inputs!$C$72=2,-P53*Drivers!P79,-MAX(0,P67-O67)/Drivers!P78)</f>
        <v>-121.5</v>
      </c>
      <c r="Q115" s="71">
        <f>IF(Inputs!$C$72=2,-Q53*Drivers!Q79,-MAX(0,Q67-P67)/Drivers!Q78)</f>
        <v>-99.6</v>
      </c>
      <c r="R115" s="71">
        <f>IF(Inputs!$C$72=2,-R53*Drivers!R79,-MAX(0,R67-Q67)/Drivers!R78)</f>
        <v>-76.5</v>
      </c>
      <c r="S115" s="71">
        <f>IF(Inputs!$C$72=2,-S53*Drivers!S79,-MAX(0,S67-R67)/Drivers!S78)</f>
        <v>-78.300000000000011</v>
      </c>
      <c r="V115" s="15" t="s">
        <v>495</v>
      </c>
    </row>
    <row r="116" spans="2:22" x14ac:dyDescent="0.35">
      <c r="B116" s="40" t="s">
        <v>307</v>
      </c>
      <c r="C116" s="59" t="s">
        <v>167</v>
      </c>
      <c r="E116" s="80">
        <f>Hist!E64</f>
        <v>-197.1</v>
      </c>
      <c r="F116" s="80">
        <f>Hist!F64</f>
        <v>-124.8</v>
      </c>
      <c r="G116" s="80">
        <f>Hist!G64</f>
        <v>-161.4</v>
      </c>
      <c r="H116" s="80">
        <f>Hist!H64</f>
        <v>-238.7</v>
      </c>
      <c r="I116" s="80">
        <f>Hist!I64</f>
        <v>-253.1</v>
      </c>
      <c r="J116" s="80">
        <f>Hist!J64</f>
        <v>-257.3</v>
      </c>
      <c r="K116" s="80">
        <f>Hist!K64</f>
        <v>-271.7</v>
      </c>
      <c r="L116" s="49">
        <f t="shared" ref="L116:S116" si="67">L114+L115</f>
        <v>-440.32239795741106</v>
      </c>
      <c r="M116" s="49">
        <f t="shared" si="67"/>
        <v>-462.39213602964219</v>
      </c>
      <c r="N116" s="49">
        <f t="shared" si="67"/>
        <v>-485.65140788537292</v>
      </c>
      <c r="O116" s="49">
        <f t="shared" si="67"/>
        <v>-485.99425371332063</v>
      </c>
      <c r="P116" s="49">
        <f t="shared" si="67"/>
        <v>-484.39695611636392</v>
      </c>
      <c r="Q116" s="49">
        <f t="shared" si="67"/>
        <v>-480.26547300339496</v>
      </c>
      <c r="R116" s="49">
        <f t="shared" si="67"/>
        <v>-473.44113023825798</v>
      </c>
      <c r="S116" s="49">
        <f t="shared" si="67"/>
        <v>-490.50872570962133</v>
      </c>
    </row>
    <row r="117" spans="2:22" x14ac:dyDescent="0.35">
      <c r="B117" s="40" t="s">
        <v>496</v>
      </c>
      <c r="C117" s="59" t="s">
        <v>167</v>
      </c>
      <c r="E117" s="49">
        <f>Hist!E40+Hist!E39</f>
        <v>1072.8</v>
      </c>
      <c r="F117" s="49">
        <f>Hist!F40+Hist!F39</f>
        <v>1020.7</v>
      </c>
      <c r="G117" s="49">
        <f>Hist!G40+Hist!G39</f>
        <v>1002.4</v>
      </c>
      <c r="H117" s="49">
        <f>Hist!H40+Hist!H39</f>
        <v>1245</v>
      </c>
      <c r="I117" s="49">
        <f>Hist!I40+Hist!I39</f>
        <v>1287.2</v>
      </c>
      <c r="J117" s="49">
        <f>Hist!J40+Hist!J39</f>
        <v>1437.5</v>
      </c>
      <c r="K117" s="49">
        <f>Hist!K40+Hist!K39</f>
        <v>1470.1</v>
      </c>
      <c r="L117" s="49">
        <f t="shared" ref="L117:S117" si="68">K117-L116+L84</f>
        <v>1658.4586877548893</v>
      </c>
      <c r="M117" s="49">
        <f t="shared" si="68"/>
        <v>1853.1617440784466</v>
      </c>
      <c r="N117" s="49">
        <f t="shared" si="68"/>
        <v>2053.7359130246914</v>
      </c>
      <c r="O117" s="49">
        <f t="shared" si="68"/>
        <v>2237.19122347029</v>
      </c>
      <c r="P117" s="49">
        <f t="shared" si="68"/>
        <v>2402.2388582042536</v>
      </c>
      <c r="Q117" s="49">
        <f t="shared" si="68"/>
        <v>2547.5187149646608</v>
      </c>
      <c r="R117" s="49">
        <f t="shared" si="68"/>
        <v>2671.6516505932518</v>
      </c>
      <c r="S117" s="49">
        <f t="shared" si="68"/>
        <v>2799.4166976784068</v>
      </c>
      <c r="V117" s="15" t="s">
        <v>497</v>
      </c>
    </row>
    <row r="118" spans="2:22" x14ac:dyDescent="0.35">
      <c r="B118" s="40" t="s">
        <v>285</v>
      </c>
      <c r="C118" s="59" t="s">
        <v>167</v>
      </c>
      <c r="E118" s="80">
        <f>Hist!E38</f>
        <v>1800</v>
      </c>
      <c r="F118" s="80">
        <f>Hist!F38</f>
        <v>1800</v>
      </c>
      <c r="G118" s="80">
        <f>Hist!G38</f>
        <v>1800</v>
      </c>
      <c r="H118" s="80">
        <f>Hist!H38</f>
        <v>2400</v>
      </c>
      <c r="I118" s="80">
        <f>Hist!I38</f>
        <v>2400</v>
      </c>
      <c r="J118" s="80">
        <f>Hist!J38</f>
        <v>2730</v>
      </c>
      <c r="K118" s="80">
        <f>Hist!K38</f>
        <v>2730</v>
      </c>
      <c r="L118" s="49">
        <f t="shared" ref="L118:S118" si="69">K118</f>
        <v>2730</v>
      </c>
      <c r="M118" s="49">
        <f t="shared" si="69"/>
        <v>2730</v>
      </c>
      <c r="N118" s="49">
        <f t="shared" si="69"/>
        <v>2730</v>
      </c>
      <c r="O118" s="49">
        <f t="shared" si="69"/>
        <v>2730</v>
      </c>
      <c r="P118" s="49">
        <f t="shared" si="69"/>
        <v>2730</v>
      </c>
      <c r="Q118" s="49">
        <f t="shared" si="69"/>
        <v>2730</v>
      </c>
      <c r="R118" s="49">
        <f t="shared" si="69"/>
        <v>2730</v>
      </c>
      <c r="S118" s="49">
        <f t="shared" si="69"/>
        <v>2730</v>
      </c>
      <c r="V118" s="15" t="s">
        <v>498</v>
      </c>
    </row>
    <row r="119" spans="2:22" x14ac:dyDescent="0.35">
      <c r="B119" s="103" t="s">
        <v>342</v>
      </c>
      <c r="C119" s="104" t="s">
        <v>167</v>
      </c>
      <c r="D119" s="105"/>
      <c r="E119" s="106">
        <f t="shared" ref="E119:S119" si="70">E112+E117+E118</f>
        <v>2645.3999999999996</v>
      </c>
      <c r="F119" s="106">
        <f t="shared" si="70"/>
        <v>2640.4</v>
      </c>
      <c r="G119" s="106">
        <f t="shared" si="70"/>
        <v>2597</v>
      </c>
      <c r="H119" s="106">
        <f t="shared" si="70"/>
        <v>3385</v>
      </c>
      <c r="I119" s="106">
        <f t="shared" si="70"/>
        <v>3391.9</v>
      </c>
      <c r="J119" s="106">
        <f t="shared" si="70"/>
        <v>3844.6</v>
      </c>
      <c r="K119" s="106">
        <f t="shared" si="70"/>
        <v>3847</v>
      </c>
      <c r="L119" s="106">
        <f t="shared" si="70"/>
        <v>4016.2395704102546</v>
      </c>
      <c r="M119" s="106">
        <f t="shared" si="70"/>
        <v>4187.7119672399122</v>
      </c>
      <c r="N119" s="106">
        <f t="shared" si="70"/>
        <v>4362.5990827737069</v>
      </c>
      <c r="O119" s="106">
        <f t="shared" si="70"/>
        <v>4520.2586936429734</v>
      </c>
      <c r="P119" s="106">
        <f t="shared" si="70"/>
        <v>4660.4728152529806</v>
      </c>
      <c r="Q119" s="106">
        <f t="shared" si="70"/>
        <v>4782.6536000602473</v>
      </c>
      <c r="R119" s="106">
        <f t="shared" si="70"/>
        <v>4885.6281812835168</v>
      </c>
      <c r="S119" s="106">
        <f t="shared" si="70"/>
        <v>4993.5453542558989</v>
      </c>
      <c r="T119" s="105"/>
    </row>
    <row r="120" spans="2:22" ht="8" customHeight="1" x14ac:dyDescent="0.35"/>
    <row r="121" spans="2:22" x14ac:dyDescent="0.35">
      <c r="B121" s="40" t="s">
        <v>499</v>
      </c>
      <c r="C121" s="59" t="s">
        <v>167</v>
      </c>
      <c r="E121" s="49">
        <f>E85*(1-Inputs!$C$77)</f>
        <v>434.6159999999997</v>
      </c>
      <c r="F121" s="49">
        <f>F85*(1-Inputs!$C$77)</f>
        <v>262.392</v>
      </c>
      <c r="G121" s="49">
        <f>G85*(1-Inputs!$C$77)</f>
        <v>346.16400000000004</v>
      </c>
      <c r="H121" s="49">
        <f>H85*(1-Inputs!$C$77)</f>
        <v>452.08799999999985</v>
      </c>
      <c r="I121" s="49">
        <f>I85*(1-Inputs!$C$77)</f>
        <v>555.6719999999998</v>
      </c>
      <c r="J121" s="49">
        <f>J85*(1-Inputs!$C$77)</f>
        <v>645.37200000000007</v>
      </c>
      <c r="K121" s="49">
        <f>K85*(1-Inputs!$C$77)</f>
        <v>741.54599999999994</v>
      </c>
      <c r="L121" s="49">
        <f>L85*(1-Drivers!L81)</f>
        <v>779.68496171647041</v>
      </c>
      <c r="M121" s="49">
        <f>M85*(1-Drivers!M81)</f>
        <v>838.64130513019268</v>
      </c>
      <c r="N121" s="49">
        <f>N85*(1-Drivers!N81)</f>
        <v>910.80839377120549</v>
      </c>
      <c r="O121" s="49">
        <f>O85*(1-Drivers!O81)</f>
        <v>983.67555001947392</v>
      </c>
      <c r="P121" s="49">
        <f>P85*(1-Drivers!P81)</f>
        <v>1054.061330823667</v>
      </c>
      <c r="Q121" s="49">
        <f>Q85*(1-Drivers!Q81)</f>
        <v>1118.0943618464755</v>
      </c>
      <c r="R121" s="49">
        <f>R85*(1-Drivers!R81)</f>
        <v>1174.9372814231579</v>
      </c>
      <c r="S121" s="49">
        <f>S85*(1-Drivers!S81)</f>
        <v>1225.6182297827665</v>
      </c>
    </row>
    <row r="122" spans="2:22" x14ac:dyDescent="0.35">
      <c r="B122" s="11" t="s">
        <v>345</v>
      </c>
      <c r="C122" s="59" t="s">
        <v>323</v>
      </c>
      <c r="F122" s="110">
        <f t="shared" ref="F122:S122" si="71">F121/AVERAGE(E119,F119)</f>
        <v>9.9281849483521895E-2</v>
      </c>
      <c r="G122" s="110">
        <f t="shared" si="71"/>
        <v>0.13218925421010427</v>
      </c>
      <c r="H122" s="110">
        <f t="shared" si="71"/>
        <v>0.15114944834503505</v>
      </c>
      <c r="I122" s="110">
        <f t="shared" si="71"/>
        <v>0.1639900249376558</v>
      </c>
      <c r="J122" s="110">
        <f t="shared" si="71"/>
        <v>0.17836578456436125</v>
      </c>
      <c r="K122" s="110">
        <f t="shared" si="71"/>
        <v>0.19281969941234592</v>
      </c>
      <c r="L122" s="110">
        <f t="shared" si="71"/>
        <v>0.19831138419092867</v>
      </c>
      <c r="M122" s="110">
        <f t="shared" si="71"/>
        <v>0.20444813728638925</v>
      </c>
      <c r="N122" s="110">
        <f t="shared" si="71"/>
        <v>0.213046844364745</v>
      </c>
      <c r="O122" s="110">
        <f t="shared" si="71"/>
        <v>0.22147727111674773</v>
      </c>
      <c r="P122" s="110">
        <f t="shared" si="71"/>
        <v>0.22962469380621831</v>
      </c>
      <c r="Q122" s="110">
        <f t="shared" si="71"/>
        <v>0.23680597138535464</v>
      </c>
      <c r="R122" s="110">
        <f t="shared" si="71"/>
        <v>0.24304986304605966</v>
      </c>
      <c r="S122" s="110">
        <f t="shared" si="71"/>
        <v>0.24812161166593905</v>
      </c>
    </row>
    <row r="123" spans="2:22" x14ac:dyDescent="0.35">
      <c r="B123" s="65" t="s">
        <v>500</v>
      </c>
      <c r="C123" s="59" t="s">
        <v>167</v>
      </c>
      <c r="F123" s="71">
        <f t="shared" ref="F123:S123" si="72">-F116+F84+F113</f>
        <v>-4.9999999999999858</v>
      </c>
      <c r="G123" s="71">
        <f t="shared" si="72"/>
        <v>-43.400000000000006</v>
      </c>
      <c r="H123" s="71">
        <f t="shared" si="72"/>
        <v>-12.000000000000028</v>
      </c>
      <c r="I123" s="71">
        <f t="shared" si="72"/>
        <v>6.9000000000000341</v>
      </c>
      <c r="J123" s="71">
        <f t="shared" si="72"/>
        <v>2.6999999999999886</v>
      </c>
      <c r="K123" s="71">
        <f t="shared" si="72"/>
        <v>2.4000000000000625</v>
      </c>
      <c r="L123" s="71">
        <f t="shared" si="72"/>
        <v>169.23957041025488</v>
      </c>
      <c r="M123" s="71">
        <f t="shared" si="72"/>
        <v>171.47239682965676</v>
      </c>
      <c r="N123" s="71">
        <f t="shared" si="72"/>
        <v>174.88711553379471</v>
      </c>
      <c r="O123" s="71">
        <f t="shared" si="72"/>
        <v>157.65961086926649</v>
      </c>
      <c r="P123" s="71">
        <f t="shared" si="72"/>
        <v>140.21412161000751</v>
      </c>
      <c r="Q123" s="71">
        <f t="shared" si="72"/>
        <v>122.18078480726695</v>
      </c>
      <c r="R123" s="71">
        <f t="shared" si="72"/>
        <v>102.97458122326918</v>
      </c>
      <c r="S123" s="71">
        <f t="shared" si="72"/>
        <v>107.91717297238222</v>
      </c>
      <c r="V123" s="15" t="s">
        <v>501</v>
      </c>
    </row>
    <row r="124" spans="2:22" ht="8" customHeight="1" x14ac:dyDescent="0.35"/>
    <row r="125" spans="2:22" x14ac:dyDescent="0.35">
      <c r="B125" s="103" t="s">
        <v>502</v>
      </c>
      <c r="C125" s="104" t="s">
        <v>167</v>
      </c>
      <c r="D125" s="105"/>
      <c r="E125" s="105"/>
      <c r="F125" s="106">
        <f t="shared" ref="F125:S125" si="73">F121-F84+F116-F113</f>
        <v>267.392</v>
      </c>
      <c r="G125" s="106">
        <f t="shared" si="73"/>
        <v>389.56400000000008</v>
      </c>
      <c r="H125" s="106">
        <f t="shared" si="73"/>
        <v>464.08799999999991</v>
      </c>
      <c r="I125" s="106">
        <f t="shared" si="73"/>
        <v>548.77199999999971</v>
      </c>
      <c r="J125" s="106">
        <f t="shared" si="73"/>
        <v>642.67200000000014</v>
      </c>
      <c r="K125" s="106">
        <f t="shared" si="73"/>
        <v>739.14599999999984</v>
      </c>
      <c r="L125" s="106">
        <f t="shared" si="73"/>
        <v>610.44539130621536</v>
      </c>
      <c r="M125" s="106">
        <f t="shared" si="73"/>
        <v>667.16890830053592</v>
      </c>
      <c r="N125" s="106">
        <f t="shared" si="73"/>
        <v>735.92127823741066</v>
      </c>
      <c r="O125" s="106">
        <f t="shared" si="73"/>
        <v>826.01593915020749</v>
      </c>
      <c r="P125" s="106">
        <f t="shared" si="73"/>
        <v>913.84720921365943</v>
      </c>
      <c r="Q125" s="106">
        <f t="shared" si="73"/>
        <v>995.91357703920858</v>
      </c>
      <c r="R125" s="106">
        <f t="shared" si="73"/>
        <v>1071.9627001998888</v>
      </c>
      <c r="S125" s="106">
        <f t="shared" si="73"/>
        <v>1117.7010568103844</v>
      </c>
      <c r="T125" s="105"/>
      <c r="V125" s="15" t="s">
        <v>503</v>
      </c>
    </row>
    <row r="126" spans="2:22" x14ac:dyDescent="0.35">
      <c r="B126" s="65" t="s">
        <v>504</v>
      </c>
      <c r="C126" s="59" t="s">
        <v>323</v>
      </c>
      <c r="F126" s="69">
        <f t="shared" ref="F126:S126" si="74">F125/F67</f>
        <v>7.7102652825836213E-2</v>
      </c>
      <c r="G126" s="69">
        <f t="shared" si="74"/>
        <v>0.10620610687022902</v>
      </c>
      <c r="H126" s="69">
        <f t="shared" si="74"/>
        <v>0.10888972313467854</v>
      </c>
      <c r="I126" s="69">
        <f t="shared" si="74"/>
        <v>0.11708384894388729</v>
      </c>
      <c r="J126" s="69">
        <f t="shared" si="74"/>
        <v>0.12738790882061449</v>
      </c>
      <c r="K126" s="69">
        <f t="shared" si="74"/>
        <v>0.13604748757592489</v>
      </c>
      <c r="L126" s="69">
        <f t="shared" si="74"/>
        <v>0.10660105455616781</v>
      </c>
      <c r="M126" s="69">
        <f t="shared" si="74"/>
        <v>0.10966241879368034</v>
      </c>
      <c r="N126" s="69">
        <f t="shared" si="74"/>
        <v>0.11358513349906621</v>
      </c>
      <c r="O126" s="69">
        <f t="shared" si="74"/>
        <v>0.12013230736529362</v>
      </c>
      <c r="P126" s="69">
        <f t="shared" si="74"/>
        <v>0.1259100129956218</v>
      </c>
      <c r="Q126" s="69">
        <f t="shared" si="74"/>
        <v>0.13081217600083295</v>
      </c>
      <c r="R126" s="69">
        <f t="shared" si="74"/>
        <v>0.13502791957543669</v>
      </c>
      <c r="S126" s="69">
        <f t="shared" si="74"/>
        <v>0.13557464787848089</v>
      </c>
    </row>
    <row r="127" spans="2:22" x14ac:dyDescent="0.35">
      <c r="B127" s="65" t="s">
        <v>505</v>
      </c>
      <c r="C127" s="59" t="s">
        <v>323</v>
      </c>
      <c r="F127" s="69">
        <f t="shared" ref="F127:S127" si="75">IF(F82=0,0,F125/F82)</f>
        <v>0.52092733294369764</v>
      </c>
      <c r="G127" s="69">
        <f t="shared" si="75"/>
        <v>0.6248019246190859</v>
      </c>
      <c r="H127" s="69">
        <f t="shared" si="75"/>
        <v>0.59828284130462805</v>
      </c>
      <c r="I127" s="69">
        <f t="shared" si="75"/>
        <v>0.59435936315390436</v>
      </c>
      <c r="J127" s="69">
        <f t="shared" si="75"/>
        <v>0.60951441578148713</v>
      </c>
      <c r="K127" s="69">
        <f t="shared" si="75"/>
        <v>0.62123550176500242</v>
      </c>
      <c r="L127" s="69">
        <f t="shared" si="75"/>
        <v>0.48774767614458775</v>
      </c>
      <c r="M127" s="69">
        <f t="shared" si="75"/>
        <v>0.49682306477820415</v>
      </c>
      <c r="N127" s="69">
        <f t="shared" si="75"/>
        <v>0.50656060950678505</v>
      </c>
      <c r="O127" s="69">
        <f t="shared" si="75"/>
        <v>0.52825753470701431</v>
      </c>
      <c r="P127" s="69">
        <f t="shared" si="75"/>
        <v>0.54698134814564603</v>
      </c>
      <c r="Q127" s="69">
        <f t="shared" si="75"/>
        <v>0.56315940520606211</v>
      </c>
      <c r="R127" s="69">
        <f t="shared" si="75"/>
        <v>0.57767876902588888</v>
      </c>
      <c r="S127" s="69">
        <f t="shared" si="75"/>
        <v>0.57790728063113217</v>
      </c>
    </row>
    <row r="128" spans="2:22" ht="8" customHeight="1" x14ac:dyDescent="0.35"/>
    <row r="129" spans="2:22" ht="14.5" customHeight="1" x14ac:dyDescent="0.35">
      <c r="B129" s="9" t="s">
        <v>506</v>
      </c>
      <c r="C129" s="9"/>
      <c r="D129" s="9"/>
      <c r="E129" s="9"/>
      <c r="F129" s="9"/>
      <c r="G129" s="9"/>
      <c r="H129" s="9"/>
      <c r="I129" s="9"/>
      <c r="J129" s="9"/>
      <c r="K129" s="9"/>
      <c r="L129" s="9"/>
      <c r="M129" s="9"/>
      <c r="N129" s="9"/>
      <c r="O129" s="9"/>
      <c r="P129" s="9"/>
      <c r="Q129" s="9"/>
      <c r="R129" s="9"/>
      <c r="S129" s="9"/>
      <c r="T129" s="9"/>
    </row>
    <row r="130" spans="2:22" ht="5" customHeight="1" x14ac:dyDescent="0.35"/>
    <row r="131" spans="2:22" x14ac:dyDescent="0.35">
      <c r="B131" s="40" t="s">
        <v>310</v>
      </c>
      <c r="C131" s="59" t="s">
        <v>167</v>
      </c>
      <c r="E131" s="80">
        <f>Hist!E67</f>
        <v>-204</v>
      </c>
      <c r="F131" s="80">
        <f>Hist!F67</f>
        <v>0</v>
      </c>
      <c r="G131" s="80">
        <f>Hist!G67</f>
        <v>0</v>
      </c>
      <c r="H131" s="80">
        <f>Hist!H67</f>
        <v>-212.5</v>
      </c>
      <c r="I131" s="80">
        <f>Hist!I67</f>
        <v>-297.5</v>
      </c>
      <c r="J131" s="80">
        <f>Hist!J67</f>
        <v>-357</v>
      </c>
      <c r="K131" s="80">
        <f>Hist!K67</f>
        <v>-408</v>
      </c>
      <c r="L131" s="49">
        <f t="shared" ref="L131:S131" si="76">-K107*K104</f>
        <v>-459.00000000000006</v>
      </c>
      <c r="M131" s="49">
        <f t="shared" si="76"/>
        <v>-474.4358329745487</v>
      </c>
      <c r="N131" s="49">
        <f t="shared" si="76"/>
        <v>-554.79421690231038</v>
      </c>
      <c r="O131" s="49">
        <f t="shared" si="76"/>
        <v>-647.11060864120952</v>
      </c>
      <c r="P131" s="49">
        <f t="shared" si="76"/>
        <v>-745.41592700315471</v>
      </c>
      <c r="Q131" s="49">
        <f t="shared" si="76"/>
        <v>-848.50484258059009</v>
      </c>
      <c r="R131" s="49">
        <f t="shared" si="76"/>
        <v>-952.68045001252608</v>
      </c>
      <c r="S131" s="49">
        <f t="shared" si="76"/>
        <v>-1000.7804784987177</v>
      </c>
      <c r="V131" s="15" t="s">
        <v>507</v>
      </c>
    </row>
    <row r="132" spans="2:22" x14ac:dyDescent="0.35">
      <c r="B132" s="99" t="s">
        <v>508</v>
      </c>
      <c r="C132" s="59" t="s">
        <v>167</v>
      </c>
      <c r="L132" s="71">
        <f>K135-(L125+(L94+L89)*(1-Drivers!L81))-L131</f>
        <v>879.56554869378465</v>
      </c>
      <c r="M132" s="71">
        <f>L135-(M125+(M94+M89)*(1-Drivers!M81))-M131</f>
        <v>784.00923547073637</v>
      </c>
      <c r="N132" s="71">
        <f>M135-(N125+(N94+N89)*(1-Drivers!N81))-N131</f>
        <v>865.30457328574164</v>
      </c>
      <c r="O132" s="71">
        <f>N135-(O125+(O94+O89)*(1-Drivers!O81))-O131</f>
        <v>953.17372440381996</v>
      </c>
      <c r="P132" s="71">
        <f>O135-(P125+(P94+P89)*(1-Drivers!P81))-P131</f>
        <v>1050.0518974753227</v>
      </c>
      <c r="Q132" s="71">
        <f>P135-(Q125+(Q94+Q89)*(1-Drivers!Q81))-Q131</f>
        <v>1154.4920345418766</v>
      </c>
      <c r="R132" s="71">
        <f>Q135-(R125+(R94+R89)*(1-Drivers!R81))-R131</f>
        <v>1258.7745623839162</v>
      </c>
      <c r="S132" s="71">
        <f>R135-(S125+(S94+S89)*(1-Drivers!S81))-S131</f>
        <v>1329.0853663750904</v>
      </c>
      <c r="V132" s="15" t="s">
        <v>509</v>
      </c>
    </row>
    <row r="133" spans="2:22" x14ac:dyDescent="0.35">
      <c r="B133" s="99" t="s">
        <v>510</v>
      </c>
      <c r="C133" s="59" t="s">
        <v>165</v>
      </c>
      <c r="L133" s="70">
        <f>Inputs!$C$27*(1+Drivers!$H$105)^1</f>
        <v>131.76000000000002</v>
      </c>
      <c r="M133" s="70">
        <f>Inputs!$C$27*(1+Drivers!$H$105)^2</f>
        <v>142.30080000000001</v>
      </c>
      <c r="N133" s="70">
        <f>Inputs!$C$27*(1+Drivers!$H$105)^3</f>
        <v>153.68486400000003</v>
      </c>
      <c r="O133" s="70">
        <f>Inputs!$C$27*(1+Drivers!$H$105)^4</f>
        <v>165.97965312000002</v>
      </c>
      <c r="P133" s="70">
        <f>Inputs!$C$27*(1+Drivers!$H$105)^5</f>
        <v>179.25802536960003</v>
      </c>
      <c r="Q133" s="70">
        <f>Inputs!$C$27*(1+Drivers!$H$105)^6</f>
        <v>193.59866739916808</v>
      </c>
      <c r="R133" s="70">
        <f>Inputs!$C$27*(1+Drivers!$H$105)^7</f>
        <v>209.08656079110153</v>
      </c>
      <c r="S133" s="70">
        <f>Inputs!$C$27*(1+Drivers!$H$105)^8</f>
        <v>225.81348565438964</v>
      </c>
      <c r="V133" s="15" t="s">
        <v>511</v>
      </c>
    </row>
    <row r="134" spans="2:22" x14ac:dyDescent="0.35">
      <c r="B134" s="58" t="s">
        <v>512</v>
      </c>
      <c r="C134" s="59" t="s">
        <v>167</v>
      </c>
      <c r="L134" s="49">
        <f>IF(Drivers!$H$104=1,-MAX(0,Drivers!$H$103*L82-L132),0)</f>
        <v>-59.104312531635856</v>
      </c>
      <c r="M134" s="49">
        <f>IF(Drivers!$H$104=1,-MAX(0,Drivers!$H$103*M82-M132),0)</f>
        <v>-223.14344462632039</v>
      </c>
      <c r="N134" s="49">
        <f>IF(Drivers!$H$104=1,-MAX(0,Drivers!$H$103*N82-N132),0)</f>
        <v>-224.2806576216866</v>
      </c>
      <c r="O134" s="49">
        <f>IF(Drivers!$H$104=1,-MAX(0,Drivers!$H$103*O82-O132),0)</f>
        <v>-219.57235806569633</v>
      </c>
      <c r="P134" s="49">
        <f>IF(Drivers!$H$104=1,-MAX(0,Drivers!$H$103*P82-P132),0)</f>
        <v>-202.98060396884966</v>
      </c>
      <c r="Q134" s="49">
        <f>IF(Drivers!$H$104=1,-MAX(0,Drivers!$H$103*Q82-Q132),0)</f>
        <v>-171.83791018505212</v>
      </c>
      <c r="R134" s="49">
        <f>IF(Drivers!$H$104=1,-MAX(0,Drivers!$H$103*R82-R132),0)</f>
        <v>-132.95396955713977</v>
      </c>
      <c r="S134" s="49">
        <f>IF(Drivers!$H$104=1,-MAX(0,Drivers!$H$103*S82-S132),0)</f>
        <v>-121.45145969207351</v>
      </c>
      <c r="V134" s="15" t="s">
        <v>513</v>
      </c>
    </row>
    <row r="135" spans="2:22" x14ac:dyDescent="0.35">
      <c r="B135" s="103" t="s">
        <v>206</v>
      </c>
      <c r="C135" s="104" t="s">
        <v>167</v>
      </c>
      <c r="D135" s="105"/>
      <c r="E135" s="111">
        <f>Hist!E128</f>
        <v>1148.5</v>
      </c>
      <c r="F135" s="111">
        <f>Hist!F128</f>
        <v>962.6</v>
      </c>
      <c r="G135" s="111">
        <f>Hist!G128</f>
        <v>607.5</v>
      </c>
      <c r="H135" s="111">
        <f>Hist!H128</f>
        <v>1198.8</v>
      </c>
      <c r="I135" s="111">
        <f>Hist!I128</f>
        <v>1028.5999999999999</v>
      </c>
      <c r="J135" s="111">
        <f>Hist!J128</f>
        <v>1257</v>
      </c>
      <c r="K135" s="111">
        <f>Hist!K128</f>
        <v>988.6</v>
      </c>
      <c r="L135" s="106">
        <f t="shared" ref="L135:S135" si="77">L132-L134</f>
        <v>938.6698612254205</v>
      </c>
      <c r="M135" s="106">
        <f t="shared" si="77"/>
        <v>1007.1526800970568</v>
      </c>
      <c r="N135" s="106">
        <f t="shared" si="77"/>
        <v>1089.5852309074282</v>
      </c>
      <c r="O135" s="106">
        <f t="shared" si="77"/>
        <v>1172.7460824695163</v>
      </c>
      <c r="P135" s="106">
        <f t="shared" si="77"/>
        <v>1253.0325014441723</v>
      </c>
      <c r="Q135" s="106">
        <f t="shared" si="77"/>
        <v>1326.3299447269287</v>
      </c>
      <c r="R135" s="106">
        <f t="shared" si="77"/>
        <v>1391.728531941056</v>
      </c>
      <c r="S135" s="106">
        <f t="shared" si="77"/>
        <v>1450.5368260671639</v>
      </c>
      <c r="T135" s="105"/>
      <c r="V135" s="15" t="s">
        <v>514</v>
      </c>
    </row>
    <row r="136" spans="2:22" x14ac:dyDescent="0.35">
      <c r="B136" s="40" t="s">
        <v>515</v>
      </c>
      <c r="C136" s="59" t="s">
        <v>167</v>
      </c>
      <c r="E136" s="49">
        <f>Hist!E53+Hist!E54</f>
        <v>1337.3</v>
      </c>
      <c r="F136" s="49">
        <f>Hist!F53+Hist!F54</f>
        <v>1354.5</v>
      </c>
      <c r="G136" s="49">
        <f>Hist!G53+Hist!G54</f>
        <v>1371.3</v>
      </c>
      <c r="H136" s="49">
        <f>Hist!H53+Hist!H54</f>
        <v>1467.9</v>
      </c>
      <c r="I136" s="49">
        <f>Hist!I53+Hist!I54</f>
        <v>1575</v>
      </c>
      <c r="J136" s="49">
        <f>Hist!J53+Hist!J54</f>
        <v>1674.1</v>
      </c>
      <c r="K136" s="49">
        <f>Hist!K53+Hist!K54</f>
        <v>1780</v>
      </c>
      <c r="L136" s="49">
        <f t="shared" ref="L136:S136" si="78">IF(K81=0,K136,K136*L81/K81)</f>
        <v>1889.08738317757</v>
      </c>
      <c r="M136" s="49">
        <f t="shared" si="78"/>
        <v>2001.6829883177568</v>
      </c>
      <c r="N136" s="49">
        <f t="shared" si="78"/>
        <v>2114.8550649649528</v>
      </c>
      <c r="O136" s="49">
        <f t="shared" si="78"/>
        <v>2227.8126755776862</v>
      </c>
      <c r="P136" s="49">
        <f t="shared" si="78"/>
        <v>2335.6212454072493</v>
      </c>
      <c r="Q136" s="49">
        <f t="shared" si="78"/>
        <v>2437.7158454853952</v>
      </c>
      <c r="R136" s="49">
        <f t="shared" si="78"/>
        <v>2533.5005965853939</v>
      </c>
      <c r="S136" s="49">
        <f t="shared" si="78"/>
        <v>2627.4491697888307</v>
      </c>
      <c r="V136" s="15" t="s">
        <v>516</v>
      </c>
    </row>
    <row r="137" spans="2:22" x14ac:dyDescent="0.35">
      <c r="B137" s="61" t="s">
        <v>517</v>
      </c>
      <c r="C137" s="62" t="s">
        <v>167</v>
      </c>
      <c r="D137" s="63"/>
      <c r="E137" s="64">
        <f t="shared" ref="E137:S137" si="79">E135+E136</f>
        <v>2485.8000000000002</v>
      </c>
      <c r="F137" s="64">
        <f t="shared" si="79"/>
        <v>2317.1</v>
      </c>
      <c r="G137" s="64">
        <f t="shared" si="79"/>
        <v>1978.8</v>
      </c>
      <c r="H137" s="64">
        <f t="shared" si="79"/>
        <v>2666.7</v>
      </c>
      <c r="I137" s="64">
        <f t="shared" si="79"/>
        <v>2603.6</v>
      </c>
      <c r="J137" s="64">
        <f t="shared" si="79"/>
        <v>2931.1</v>
      </c>
      <c r="K137" s="64">
        <f t="shared" si="79"/>
        <v>2768.6</v>
      </c>
      <c r="L137" s="64">
        <f t="shared" si="79"/>
        <v>2827.7572444029906</v>
      </c>
      <c r="M137" s="64">
        <f t="shared" si="79"/>
        <v>3008.8356684148134</v>
      </c>
      <c r="N137" s="64">
        <f t="shared" si="79"/>
        <v>3204.4402958723813</v>
      </c>
      <c r="O137" s="64">
        <f t="shared" si="79"/>
        <v>3400.5587580472024</v>
      </c>
      <c r="P137" s="64">
        <f t="shared" si="79"/>
        <v>3588.6537468514216</v>
      </c>
      <c r="Q137" s="64">
        <f t="shared" si="79"/>
        <v>3764.0457902123239</v>
      </c>
      <c r="R137" s="64">
        <f t="shared" si="79"/>
        <v>3925.22912852645</v>
      </c>
      <c r="S137" s="64">
        <f t="shared" si="79"/>
        <v>4077.9859958559946</v>
      </c>
      <c r="T137" s="63"/>
    </row>
    <row r="138" spans="2:22" x14ac:dyDescent="0.35">
      <c r="B138" s="65" t="s">
        <v>346</v>
      </c>
      <c r="C138" s="59" t="s">
        <v>336</v>
      </c>
      <c r="E138" s="73">
        <f t="shared" ref="E138:S138" si="80">IF(E82=0,0,E135/E82)</f>
        <v>1.5700615174299393</v>
      </c>
      <c r="F138" s="73">
        <f t="shared" si="80"/>
        <v>1.8753165789986366</v>
      </c>
      <c r="G138" s="73">
        <f t="shared" si="80"/>
        <v>0.97433841218925421</v>
      </c>
      <c r="H138" s="73">
        <f t="shared" si="80"/>
        <v>1.5454428258347301</v>
      </c>
      <c r="I138" s="73">
        <f t="shared" si="80"/>
        <v>1.1140474385356873</v>
      </c>
      <c r="J138" s="73">
        <f t="shared" si="80"/>
        <v>1.1921471927162366</v>
      </c>
      <c r="K138" s="73">
        <f t="shared" si="80"/>
        <v>0.83089594889897467</v>
      </c>
      <c r="L138" s="73">
        <f t="shared" si="80"/>
        <v>0.75</v>
      </c>
      <c r="M138" s="73">
        <f t="shared" si="80"/>
        <v>0.75</v>
      </c>
      <c r="N138" s="73">
        <f t="shared" si="80"/>
        <v>0.75</v>
      </c>
      <c r="O138" s="73">
        <f t="shared" si="80"/>
        <v>0.74999999999999989</v>
      </c>
      <c r="P138" s="73">
        <f t="shared" si="80"/>
        <v>0.75</v>
      </c>
      <c r="Q138" s="73">
        <f t="shared" si="80"/>
        <v>0.75</v>
      </c>
      <c r="R138" s="73">
        <f t="shared" si="80"/>
        <v>0.75</v>
      </c>
      <c r="S138" s="73">
        <f t="shared" si="80"/>
        <v>0.75</v>
      </c>
    </row>
    <row r="139" spans="2:22" ht="8" customHeight="1" x14ac:dyDescent="0.35"/>
    <row r="140" spans="2:22" x14ac:dyDescent="0.35">
      <c r="B140" s="40" t="s">
        <v>288</v>
      </c>
      <c r="C140" s="59" t="s">
        <v>167</v>
      </c>
      <c r="E140" s="80">
        <f>Hist!E41</f>
        <v>1267.3</v>
      </c>
      <c r="F140" s="80">
        <f>Hist!F41</f>
        <v>1284.5</v>
      </c>
      <c r="G140" s="80">
        <f>Hist!G41</f>
        <v>1301.3</v>
      </c>
      <c r="H140" s="80">
        <f>Hist!H41</f>
        <v>1397.9</v>
      </c>
      <c r="I140" s="80">
        <f>Hist!I41</f>
        <v>1505</v>
      </c>
      <c r="J140" s="80">
        <f>Hist!J41</f>
        <v>1604.1</v>
      </c>
      <c r="K140" s="80">
        <f>Hist!K41</f>
        <v>1710</v>
      </c>
      <c r="L140" s="49">
        <f t="shared" ref="L140:S140" si="81">K140+L136-K136</f>
        <v>1819.0873831775698</v>
      </c>
      <c r="M140" s="49">
        <f t="shared" si="81"/>
        <v>1931.6829883177568</v>
      </c>
      <c r="N140" s="49">
        <f t="shared" si="81"/>
        <v>2044.8550649649526</v>
      </c>
      <c r="O140" s="49">
        <f t="shared" si="81"/>
        <v>2157.8126755776862</v>
      </c>
      <c r="P140" s="49">
        <f t="shared" si="81"/>
        <v>2265.6212454072488</v>
      </c>
      <c r="Q140" s="49">
        <f t="shared" si="81"/>
        <v>2367.7158454853952</v>
      </c>
      <c r="R140" s="49">
        <f t="shared" si="81"/>
        <v>2463.5005965853934</v>
      </c>
      <c r="S140" s="49">
        <f t="shared" si="81"/>
        <v>2557.4491697888302</v>
      </c>
      <c r="V140" s="15" t="s">
        <v>518</v>
      </c>
    </row>
    <row r="141" spans="2:22" x14ac:dyDescent="0.35">
      <c r="B141" s="40" t="s">
        <v>289</v>
      </c>
      <c r="C141" s="59" t="s">
        <v>167</v>
      </c>
      <c r="E141" s="80">
        <f>Hist!E42</f>
        <v>55</v>
      </c>
      <c r="F141" s="80">
        <f>Hist!F42</f>
        <v>55</v>
      </c>
      <c r="G141" s="80">
        <f>Hist!G42</f>
        <v>55</v>
      </c>
      <c r="H141" s="80">
        <f>Hist!H42</f>
        <v>55</v>
      </c>
      <c r="I141" s="80">
        <f>Hist!I42</f>
        <v>55</v>
      </c>
      <c r="J141" s="80">
        <f>Hist!J42</f>
        <v>55</v>
      </c>
      <c r="K141" s="80">
        <f>Hist!K42</f>
        <v>55</v>
      </c>
      <c r="L141" s="49">
        <f t="shared" ref="L141:S142" si="82">K141</f>
        <v>55</v>
      </c>
      <c r="M141" s="49">
        <f t="shared" si="82"/>
        <v>55</v>
      </c>
      <c r="N141" s="49">
        <f t="shared" si="82"/>
        <v>55</v>
      </c>
      <c r="O141" s="49">
        <f t="shared" si="82"/>
        <v>55</v>
      </c>
      <c r="P141" s="49">
        <f t="shared" si="82"/>
        <v>55</v>
      </c>
      <c r="Q141" s="49">
        <f t="shared" si="82"/>
        <v>55</v>
      </c>
      <c r="R141" s="49">
        <f t="shared" si="82"/>
        <v>55</v>
      </c>
      <c r="S141" s="49">
        <f t="shared" si="82"/>
        <v>55</v>
      </c>
      <c r="V141" s="15" t="s">
        <v>519</v>
      </c>
    </row>
    <row r="142" spans="2:22" x14ac:dyDescent="0.35">
      <c r="B142" s="40" t="s">
        <v>300</v>
      </c>
      <c r="C142" s="59" t="s">
        <v>167</v>
      </c>
      <c r="E142" s="80">
        <f>Hist!E55</f>
        <v>180</v>
      </c>
      <c r="F142" s="80">
        <f>Hist!F55</f>
        <v>180</v>
      </c>
      <c r="G142" s="80">
        <f>Hist!G55</f>
        <v>180</v>
      </c>
      <c r="H142" s="80">
        <f>Hist!H55</f>
        <v>180</v>
      </c>
      <c r="I142" s="80">
        <f>Hist!I55</f>
        <v>180</v>
      </c>
      <c r="J142" s="80">
        <f>Hist!J55</f>
        <v>180</v>
      </c>
      <c r="K142" s="80">
        <f>Hist!K55</f>
        <v>180</v>
      </c>
      <c r="L142" s="49">
        <f t="shared" si="82"/>
        <v>180</v>
      </c>
      <c r="M142" s="49">
        <f t="shared" si="82"/>
        <v>180</v>
      </c>
      <c r="N142" s="49">
        <f t="shared" si="82"/>
        <v>180</v>
      </c>
      <c r="O142" s="49">
        <f t="shared" si="82"/>
        <v>180</v>
      </c>
      <c r="P142" s="49">
        <f t="shared" si="82"/>
        <v>180</v>
      </c>
      <c r="Q142" s="49">
        <f t="shared" si="82"/>
        <v>180</v>
      </c>
      <c r="R142" s="49">
        <f t="shared" si="82"/>
        <v>180</v>
      </c>
      <c r="S142" s="49">
        <f t="shared" si="82"/>
        <v>180</v>
      </c>
      <c r="V142" s="15" t="s">
        <v>519</v>
      </c>
    </row>
    <row r="143" spans="2:22" x14ac:dyDescent="0.35">
      <c r="B143" s="40" t="s">
        <v>520</v>
      </c>
      <c r="C143" s="59" t="s">
        <v>167</v>
      </c>
      <c r="E143" s="80">
        <f>Hist!E48</f>
        <v>1270.0999999999999</v>
      </c>
      <c r="F143" s="80">
        <f>Hist!F48</f>
        <v>1449.2</v>
      </c>
      <c r="G143" s="80">
        <f>Hist!G48</f>
        <v>1757.8</v>
      </c>
      <c r="H143" s="80">
        <f>Hist!H48</f>
        <v>1950.4</v>
      </c>
      <c r="I143" s="80">
        <f>Hist!I48</f>
        <v>2122.8000000000002</v>
      </c>
      <c r="J143" s="80">
        <f>Hist!J48</f>
        <v>2341.3000000000002</v>
      </c>
      <c r="K143" s="80">
        <f>Hist!K48</f>
        <v>2605.3000000000002</v>
      </c>
      <c r="L143" s="49">
        <f t="shared" ref="L143:S143" si="83">K143+L100+L131+L134</f>
        <v>2817.0969689676699</v>
      </c>
      <c r="M143" s="49">
        <f t="shared" si="83"/>
        <v>2912.0808583701019</v>
      </c>
      <c r="N143" s="49">
        <f t="shared" si="83"/>
        <v>2995.8201287010506</v>
      </c>
      <c r="O143" s="49">
        <f t="shared" si="83"/>
        <v>3060.9070707480878</v>
      </c>
      <c r="P143" s="49">
        <f t="shared" si="83"/>
        <v>3110.7515310473659</v>
      </c>
      <c r="Q143" s="49">
        <f t="shared" si="83"/>
        <v>3148.9426116289751</v>
      </c>
      <c r="R143" s="49">
        <f t="shared" si="83"/>
        <v>3175.2865015023285</v>
      </c>
      <c r="S143" s="49">
        <f t="shared" si="83"/>
        <v>3212.6819721782322</v>
      </c>
    </row>
    <row r="144" spans="2:22" x14ac:dyDescent="0.35">
      <c r="B144" s="40" t="s">
        <v>521</v>
      </c>
      <c r="C144" s="59" t="s">
        <v>167</v>
      </c>
      <c r="E144" s="80">
        <f>Hist!E49</f>
        <v>31.8</v>
      </c>
      <c r="F144" s="80">
        <f>Hist!F49</f>
        <v>33.6</v>
      </c>
      <c r="G144" s="80">
        <f>Hist!G49</f>
        <v>36.700000000000003</v>
      </c>
      <c r="H144" s="80">
        <f>Hist!H49</f>
        <v>40.799999999999997</v>
      </c>
      <c r="I144" s="80">
        <f>Hist!I49</f>
        <v>45.5</v>
      </c>
      <c r="J144" s="80">
        <f>Hist!J49</f>
        <v>51.3</v>
      </c>
      <c r="K144" s="80">
        <f>Hist!K49</f>
        <v>58.1</v>
      </c>
      <c r="L144" s="49">
        <f t="shared" ref="L144:S144" si="84">K144-L99</f>
        <v>65.472740217164699</v>
      </c>
      <c r="M144" s="49">
        <f t="shared" si="84"/>
        <v>73.478428772753603</v>
      </c>
      <c r="N144" s="49">
        <f t="shared" si="84"/>
        <v>82.193723165227809</v>
      </c>
      <c r="O144" s="49">
        <f t="shared" si="84"/>
        <v>91.605540425368645</v>
      </c>
      <c r="P144" s="49">
        <f t="shared" si="84"/>
        <v>101.68878276144221</v>
      </c>
      <c r="Q144" s="49">
        <f t="shared" si="84"/>
        <v>112.38104370434374</v>
      </c>
      <c r="R144" s="49">
        <f t="shared" si="84"/>
        <v>123.61314784013182</v>
      </c>
      <c r="S144" s="49">
        <f t="shared" si="84"/>
        <v>135.32655601050246</v>
      </c>
    </row>
    <row r="145" spans="2:19" x14ac:dyDescent="0.35">
      <c r="B145" s="65" t="s">
        <v>522</v>
      </c>
      <c r="C145" s="59" t="s">
        <v>323</v>
      </c>
      <c r="F145" s="69">
        <f t="shared" ref="F145:S145" si="85">F100/AVERAGE(E143,F143)</f>
        <v>0.13172507630640234</v>
      </c>
      <c r="G145" s="69">
        <f t="shared" si="85"/>
        <v>0.1924540068599937</v>
      </c>
      <c r="H145" s="69">
        <f t="shared" si="85"/>
        <v>0.21848875465185255</v>
      </c>
      <c r="I145" s="69">
        <f t="shared" si="85"/>
        <v>0.23072768339389157</v>
      </c>
      <c r="J145" s="69">
        <f t="shared" si="85"/>
        <v>0.25783472592459844</v>
      </c>
      <c r="K145" s="69">
        <f t="shared" si="85"/>
        <v>0.2717017749565358</v>
      </c>
      <c r="L145" s="69">
        <f t="shared" si="85"/>
        <v>0.26921720621950929</v>
      </c>
      <c r="M145" s="69">
        <f t="shared" si="85"/>
        <v>0.27667605750390478</v>
      </c>
      <c r="N145" s="69">
        <f t="shared" si="85"/>
        <v>0.29208822109345706</v>
      </c>
      <c r="O145" s="69">
        <f t="shared" si="85"/>
        <v>0.30768098944218197</v>
      </c>
      <c r="P145" s="69">
        <f t="shared" si="85"/>
        <v>0.32349196729089164</v>
      </c>
      <c r="Q145" s="69">
        <f t="shared" si="85"/>
        <v>0.33820624753230311</v>
      </c>
      <c r="R145" s="69">
        <f t="shared" si="85"/>
        <v>0.35165655435669307</v>
      </c>
      <c r="S145" s="69">
        <f t="shared" si="85"/>
        <v>0.36306610267240441</v>
      </c>
    </row>
  </sheetData>
  <mergeCells count="2">
    <mergeCell ref="E4:K4"/>
    <mergeCell ref="L4:S4"/>
  </mergeCells>
  <printOptions horizontalCentered="1"/>
  <pageMargins left="0.4" right="0.4" top="1" bottom="1"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07061"/>
    <pageSetUpPr fitToPage="1"/>
  </sheetPr>
  <dimension ref="B2:N21"/>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Example Company ASA</v>
      </c>
    </row>
    <row r="9" spans="2:14" ht="22" customHeight="1" x14ac:dyDescent="0.4">
      <c r="D9" s="34" t="s">
        <v>146</v>
      </c>
    </row>
    <row r="12" spans="2:14" ht="30" customHeight="1" x14ac:dyDescent="0.6">
      <c r="D12" s="3" t="s">
        <v>34</v>
      </c>
    </row>
    <row r="14" spans="2:14" x14ac:dyDescent="0.35">
      <c r="D14" s="4" t="s">
        <v>32</v>
      </c>
    </row>
    <row r="17" spans="4:6" ht="16" customHeight="1" x14ac:dyDescent="0.35">
      <c r="D17" s="35" t="s">
        <v>34</v>
      </c>
      <c r="E17" s="36" t="s">
        <v>35</v>
      </c>
      <c r="F17" s="37" t="s">
        <v>36</v>
      </c>
    </row>
    <row r="18" spans="4:6" ht="16" customHeight="1" x14ac:dyDescent="0.35">
      <c r="D18" s="35" t="s">
        <v>38</v>
      </c>
      <c r="E18" s="36" t="s">
        <v>39</v>
      </c>
      <c r="F18" s="37" t="s">
        <v>40</v>
      </c>
    </row>
    <row r="21" spans="4:6" x14ac:dyDescent="0.35">
      <c r="D21" s="38" t="s">
        <v>147</v>
      </c>
    </row>
  </sheetData>
  <hyperlinks>
    <hyperlink ref="D17" location="'Output'!A1" display="Output" xr:uid="{00000000-0004-0000-0800-000000000000}"/>
    <hyperlink ref="D18" location="'Analysis'!A1" display="Analysis" xr:uid="{00000000-0004-0000-0800-000001000000}"/>
    <hyperlink ref="D21" location="'Cover'!A1" display="← Back to cover" xr:uid="{00000000-0004-0000-0800-000002000000}"/>
  </hyperlinks>
  <printOptions horizontalCentered="1"/>
  <pageMargins left="0.4" right="0.4" top="1" bottom="1"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07061"/>
    <pageSetUpPr fitToPage="1"/>
  </sheetPr>
  <dimension ref="B1:V92"/>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20" width="9.453125" customWidth="1"/>
    <col min="21" max="21" width="1.453125" customWidth="1"/>
    <col min="22" max="22" width="58" customWidth="1"/>
  </cols>
  <sheetData>
    <row r="1" spans="2:22" ht="24" customHeight="1" x14ac:dyDescent="0.4">
      <c r="B1" s="30" t="s">
        <v>523</v>
      </c>
      <c r="T1" s="54" t="str">
        <f>Inputs!$C$6&amp;"  |  Scenario: "&amp;Inputs!$C$53</f>
        <v>Example Company ASA  |  Scenario: Base</v>
      </c>
    </row>
    <row r="2" spans="2:22" x14ac:dyDescent="0.35">
      <c r="B2" s="15" t="s">
        <v>524</v>
      </c>
    </row>
    <row r="3" spans="2:22" hidden="1" x14ac:dyDescent="0.35">
      <c r="E3" s="55">
        <f>Inputs!$C$17+0</f>
        <v>2019</v>
      </c>
      <c r="F3" s="55">
        <f>Inputs!$C$17+1</f>
        <v>2020</v>
      </c>
      <c r="G3" s="55">
        <f>Inputs!$C$17+2</f>
        <v>2021</v>
      </c>
      <c r="H3" s="55">
        <f>Inputs!$C$17+3</f>
        <v>2022</v>
      </c>
      <c r="I3" s="55">
        <f>Inputs!$C$17+4</f>
        <v>2023</v>
      </c>
      <c r="J3" s="55">
        <f>Inputs!$C$17+5</f>
        <v>2024</v>
      </c>
      <c r="K3" s="55">
        <f>Inputs!$C$17+6</f>
        <v>2025</v>
      </c>
      <c r="L3" s="55">
        <f>Inputs!$C$19+0</f>
        <v>2026</v>
      </c>
      <c r="M3" s="55">
        <f>Inputs!$C$19+1</f>
        <v>2027</v>
      </c>
      <c r="N3" s="55">
        <f>Inputs!$C$19+2</f>
        <v>2028</v>
      </c>
      <c r="O3" s="55">
        <f>Inputs!$C$19+3</f>
        <v>2029</v>
      </c>
      <c r="P3" s="55">
        <f>Inputs!$C$19+4</f>
        <v>2030</v>
      </c>
      <c r="Q3" s="55">
        <f>Inputs!$C$19+5</f>
        <v>2031</v>
      </c>
      <c r="R3" s="55">
        <f>Inputs!$C$19+6</f>
        <v>2032</v>
      </c>
      <c r="S3" s="55">
        <f>Inputs!$C$19+7</f>
        <v>2033</v>
      </c>
    </row>
    <row r="4" spans="2:22" x14ac:dyDescent="0.35">
      <c r="E4" s="254" t="s">
        <v>262</v>
      </c>
      <c r="F4" s="255"/>
      <c r="G4" s="255"/>
      <c r="H4" s="255"/>
      <c r="I4" s="255"/>
      <c r="J4" s="255"/>
      <c r="K4" s="255"/>
      <c r="L4" s="254" t="s">
        <v>355</v>
      </c>
      <c r="M4" s="255"/>
      <c r="N4" s="255"/>
      <c r="O4" s="255"/>
      <c r="P4" s="255"/>
      <c r="Q4" s="255"/>
      <c r="R4" s="255"/>
      <c r="S4" s="255"/>
    </row>
    <row r="5" spans="2:22"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c r="L5" s="75" t="str">
        <f t="shared" ref="L5:S5" si="1">L3&amp;"E"</f>
        <v>2026E</v>
      </c>
      <c r="M5" s="75" t="str">
        <f t="shared" si="1"/>
        <v>2027E</v>
      </c>
      <c r="N5" s="75" t="str">
        <f t="shared" si="1"/>
        <v>2028E</v>
      </c>
      <c r="O5" s="75" t="str">
        <f t="shared" si="1"/>
        <v>2029E</v>
      </c>
      <c r="P5" s="75" t="str">
        <f t="shared" si="1"/>
        <v>2030E</v>
      </c>
      <c r="Q5" s="75" t="str">
        <f t="shared" si="1"/>
        <v>2031E</v>
      </c>
      <c r="R5" s="75" t="str">
        <f t="shared" si="1"/>
        <v>2032E</v>
      </c>
      <c r="S5" s="75" t="str">
        <f t="shared" si="1"/>
        <v>2033E</v>
      </c>
      <c r="V5" s="9" t="s">
        <v>357</v>
      </c>
    </row>
    <row r="6" spans="2:22" ht="5" customHeight="1" x14ac:dyDescent="0.35"/>
    <row r="7" spans="2:22" ht="14.5" customHeight="1" x14ac:dyDescent="0.35">
      <c r="B7" s="9" t="s">
        <v>263</v>
      </c>
      <c r="C7" s="9"/>
      <c r="D7" s="9"/>
      <c r="E7" s="9"/>
      <c r="F7" s="9"/>
      <c r="G7" s="9"/>
      <c r="H7" s="9"/>
      <c r="I7" s="9"/>
      <c r="J7" s="9"/>
      <c r="K7" s="9"/>
      <c r="L7" s="9"/>
      <c r="M7" s="9"/>
      <c r="N7" s="9"/>
      <c r="O7" s="9"/>
      <c r="P7" s="9"/>
      <c r="Q7" s="9"/>
      <c r="R7" s="9"/>
      <c r="S7" s="9"/>
      <c r="T7" s="9"/>
    </row>
    <row r="8" spans="2:22" ht="5" customHeight="1" x14ac:dyDescent="0.35"/>
    <row r="9" spans="2:22" x14ac:dyDescent="0.35">
      <c r="B9" s="11" t="s">
        <v>455</v>
      </c>
      <c r="C9" s="59" t="s">
        <v>167</v>
      </c>
      <c r="E9" s="51">
        <f>Model!E67</f>
        <v>3790</v>
      </c>
      <c r="F9" s="51">
        <f>Model!F67</f>
        <v>3468</v>
      </c>
      <c r="G9" s="51">
        <f>Model!G67</f>
        <v>3668</v>
      </c>
      <c r="H9" s="51">
        <f>Model!H67</f>
        <v>4262</v>
      </c>
      <c r="I9" s="51">
        <f>Model!I67</f>
        <v>4687</v>
      </c>
      <c r="J9" s="51">
        <f>Model!J67</f>
        <v>5045</v>
      </c>
      <c r="K9" s="51">
        <f>Model!K67</f>
        <v>5433</v>
      </c>
      <c r="L9" s="51">
        <f>Model!L67</f>
        <v>5726.4479591482213</v>
      </c>
      <c r="M9" s="51">
        <f>Model!M67</f>
        <v>6083.8427205928429</v>
      </c>
      <c r="N9" s="51">
        <f>Model!N67</f>
        <v>6479.0281577074584</v>
      </c>
      <c r="O9" s="51">
        <f>Model!O67</f>
        <v>6875.8850742664126</v>
      </c>
      <c r="P9" s="51">
        <f>Model!P67</f>
        <v>7257.9391223272778</v>
      </c>
      <c r="Q9" s="51">
        <f>Model!Q67</f>
        <v>7613.3094600678996</v>
      </c>
      <c r="R9" s="51">
        <f>Model!R67</f>
        <v>7938.8226047651588</v>
      </c>
      <c r="S9" s="51">
        <f>Model!S67</f>
        <v>8244.1745141924257</v>
      </c>
    </row>
    <row r="10" spans="2:22" x14ac:dyDescent="0.35">
      <c r="B10" s="65" t="s">
        <v>525</v>
      </c>
      <c r="C10" s="59" t="s">
        <v>323</v>
      </c>
      <c r="F10" s="69">
        <f t="shared" ref="F10:S10" si="2">F9/E9-1</f>
        <v>-8.4960422163588345E-2</v>
      </c>
      <c r="G10" s="69">
        <f t="shared" si="2"/>
        <v>5.7670126874279193E-2</v>
      </c>
      <c r="H10" s="69">
        <f t="shared" si="2"/>
        <v>0.16194111232279162</v>
      </c>
      <c r="I10" s="69">
        <f t="shared" si="2"/>
        <v>9.9718442045987787E-2</v>
      </c>
      <c r="J10" s="69">
        <f t="shared" si="2"/>
        <v>7.6381480691273707E-2</v>
      </c>
      <c r="K10" s="69">
        <f t="shared" si="2"/>
        <v>7.6907829534192285E-2</v>
      </c>
      <c r="L10" s="69">
        <f t="shared" si="2"/>
        <v>5.4012140465345304E-2</v>
      </c>
      <c r="M10" s="69">
        <f t="shared" si="2"/>
        <v>6.2411247599599706E-2</v>
      </c>
      <c r="N10" s="69">
        <f t="shared" si="2"/>
        <v>6.4956550532934587E-2</v>
      </c>
      <c r="O10" s="69">
        <f t="shared" si="2"/>
        <v>6.1252537710744903E-2</v>
      </c>
      <c r="P10" s="69">
        <f t="shared" si="2"/>
        <v>5.5564344652986541E-2</v>
      </c>
      <c r="Q10" s="69">
        <f t="shared" si="2"/>
        <v>4.8962981329977229E-2</v>
      </c>
      <c r="R10" s="69">
        <f t="shared" si="2"/>
        <v>4.2755801061888699E-2</v>
      </c>
      <c r="S10" s="69">
        <f t="shared" si="2"/>
        <v>3.846312288726339E-2</v>
      </c>
    </row>
    <row r="11" spans="2:22" ht="8" customHeight="1" x14ac:dyDescent="0.35"/>
    <row r="12" spans="2:22" x14ac:dyDescent="0.35">
      <c r="B12" s="40" t="s">
        <v>265</v>
      </c>
      <c r="C12" s="59" t="s">
        <v>167</v>
      </c>
      <c r="E12" s="49">
        <f>Model!E68</f>
        <v>-1383.3</v>
      </c>
      <c r="F12" s="49">
        <f>Model!F68</f>
        <v>-1310.9</v>
      </c>
      <c r="G12" s="49">
        <f>Model!G68</f>
        <v>-1364.5</v>
      </c>
      <c r="H12" s="49">
        <f>Model!H68</f>
        <v>-1623.8</v>
      </c>
      <c r="I12" s="49">
        <f>Model!I68</f>
        <v>-1762.3</v>
      </c>
      <c r="J12" s="49">
        <f>Model!J68</f>
        <v>-1866.7</v>
      </c>
      <c r="K12" s="49">
        <f>Model!K68</f>
        <v>-1988.5</v>
      </c>
      <c r="L12" s="49">
        <f>Model!L68</f>
        <v>-2095.8799530482488</v>
      </c>
      <c r="M12" s="49">
        <f>Model!M68</f>
        <v>-2226.6864357369805</v>
      </c>
      <c r="N12" s="49">
        <f>Model!N68</f>
        <v>-2371.3243057209297</v>
      </c>
      <c r="O12" s="49">
        <f>Model!O68</f>
        <v>-2516.5739371815071</v>
      </c>
      <c r="P12" s="49">
        <f>Model!P68</f>
        <v>-2656.4057187717835</v>
      </c>
      <c r="Q12" s="49">
        <f>Model!Q68</f>
        <v>-2786.4712623848513</v>
      </c>
      <c r="R12" s="49">
        <f>Model!R68</f>
        <v>-2905.6090733440478</v>
      </c>
      <c r="S12" s="49">
        <f>Model!S68</f>
        <v>-3017.3678721944279</v>
      </c>
    </row>
    <row r="13" spans="2:22" x14ac:dyDescent="0.35">
      <c r="B13" s="61" t="s">
        <v>266</v>
      </c>
      <c r="C13" s="62" t="s">
        <v>167</v>
      </c>
      <c r="D13" s="63"/>
      <c r="E13" s="64">
        <f>Model!E69</f>
        <v>2406.6999999999998</v>
      </c>
      <c r="F13" s="64">
        <f>Model!F69</f>
        <v>2157.1</v>
      </c>
      <c r="G13" s="64">
        <f>Model!G69</f>
        <v>2303.5</v>
      </c>
      <c r="H13" s="64">
        <f>Model!H69</f>
        <v>2638.2</v>
      </c>
      <c r="I13" s="64">
        <f>Model!I69</f>
        <v>2924.7</v>
      </c>
      <c r="J13" s="64">
        <f>Model!J69</f>
        <v>3178.3</v>
      </c>
      <c r="K13" s="64">
        <f>Model!K69</f>
        <v>3444.5</v>
      </c>
      <c r="L13" s="64">
        <f>Model!L69</f>
        <v>3630.5680060999725</v>
      </c>
      <c r="M13" s="64">
        <f>Model!M69</f>
        <v>3857.1562848558624</v>
      </c>
      <c r="N13" s="64">
        <f>Model!N69</f>
        <v>4107.7038519865291</v>
      </c>
      <c r="O13" s="64">
        <f>Model!O69</f>
        <v>4359.3111370849056</v>
      </c>
      <c r="P13" s="64">
        <f>Model!P69</f>
        <v>4601.5334035554943</v>
      </c>
      <c r="Q13" s="64">
        <f>Model!Q69</f>
        <v>4826.8381976830478</v>
      </c>
      <c r="R13" s="64">
        <f>Model!R69</f>
        <v>5033.2135314211109</v>
      </c>
      <c r="S13" s="64">
        <f>Model!S69</f>
        <v>5226.8066419979978</v>
      </c>
      <c r="T13" s="63"/>
    </row>
    <row r="14" spans="2:22" x14ac:dyDescent="0.35">
      <c r="B14" s="65" t="s">
        <v>526</v>
      </c>
      <c r="C14" s="59" t="s">
        <v>323</v>
      </c>
      <c r="E14" s="69">
        <f t="shared" ref="E14:S14" si="3">E13/E9</f>
        <v>0.63501319261213718</v>
      </c>
      <c r="F14" s="69">
        <f t="shared" si="3"/>
        <v>0.62200115340253748</v>
      </c>
      <c r="G14" s="69">
        <f t="shared" si="3"/>
        <v>0.62799890948745907</v>
      </c>
      <c r="H14" s="69">
        <f t="shared" si="3"/>
        <v>0.61900516189582355</v>
      </c>
      <c r="I14" s="69">
        <f t="shared" si="3"/>
        <v>0.62400256027309575</v>
      </c>
      <c r="J14" s="69">
        <f t="shared" si="3"/>
        <v>0.62999008919722499</v>
      </c>
      <c r="K14" s="69">
        <f t="shared" si="3"/>
        <v>0.63399595067182035</v>
      </c>
      <c r="L14" s="69">
        <f t="shared" si="3"/>
        <v>0.63400000000000001</v>
      </c>
      <c r="M14" s="69">
        <f t="shared" si="3"/>
        <v>0.63400000000000001</v>
      </c>
      <c r="N14" s="69">
        <f t="shared" si="3"/>
        <v>0.63400000000000012</v>
      </c>
      <c r="O14" s="69">
        <f t="shared" si="3"/>
        <v>0.63400000000000001</v>
      </c>
      <c r="P14" s="69">
        <f t="shared" si="3"/>
        <v>0.63400000000000001</v>
      </c>
      <c r="Q14" s="69">
        <f t="shared" si="3"/>
        <v>0.6339999999999999</v>
      </c>
      <c r="R14" s="69">
        <f t="shared" si="3"/>
        <v>0.63400000000000001</v>
      </c>
      <c r="S14" s="69">
        <f t="shared" si="3"/>
        <v>0.63400000000000001</v>
      </c>
    </row>
    <row r="15" spans="2:22" ht="8" customHeight="1" x14ac:dyDescent="0.35"/>
    <row r="16" spans="2:22" x14ac:dyDescent="0.35">
      <c r="B16" s="40" t="s">
        <v>267</v>
      </c>
      <c r="C16" s="59" t="s">
        <v>167</v>
      </c>
      <c r="E16" s="49">
        <f>Model!E74</f>
        <v>-871.7</v>
      </c>
      <c r="F16" s="49">
        <f>Model!F74</f>
        <v>-853.1</v>
      </c>
      <c r="G16" s="49">
        <f>Model!G74</f>
        <v>-873</v>
      </c>
      <c r="H16" s="49">
        <f>Model!H74</f>
        <v>-976</v>
      </c>
      <c r="I16" s="49">
        <f>Model!I74</f>
        <v>-1049.9000000000001</v>
      </c>
      <c r="J16" s="49">
        <f>Model!J74</f>
        <v>-1114.9000000000001</v>
      </c>
      <c r="K16" s="49">
        <f>Model!K74</f>
        <v>-1184.4000000000001</v>
      </c>
      <c r="L16" s="49">
        <f>Model!L74</f>
        <v>-1247.9797662433325</v>
      </c>
      <c r="M16" s="49">
        <f>Model!M74</f>
        <v>-1317.6635656934063</v>
      </c>
      <c r="N16" s="49">
        <f>Model!N74</f>
        <v>-1390.4217314936084</v>
      </c>
      <c r="O16" s="49">
        <f>Model!O74</f>
        <v>-1463.2531397533671</v>
      </c>
      <c r="P16" s="49">
        <f>Model!P74</f>
        <v>-1533.3125580989285</v>
      </c>
      <c r="Q16" s="49">
        <f>Model!Q74</f>
        <v>-1599.4478343207004</v>
      </c>
      <c r="R16" s="49">
        <f>Model!R74</f>
        <v>-1661.2506885878101</v>
      </c>
      <c r="S16" s="49">
        <f>Model!S74</f>
        <v>-1720.8828439205731</v>
      </c>
    </row>
    <row r="17" spans="2:20" x14ac:dyDescent="0.35">
      <c r="B17" s="40" t="s">
        <v>268</v>
      </c>
      <c r="C17" s="59" t="s">
        <v>167</v>
      </c>
      <c r="E17" s="49">
        <f>Model!E77</f>
        <v>-485.1</v>
      </c>
      <c r="F17" s="49">
        <f>Model!F77</f>
        <v>-468.2</v>
      </c>
      <c r="G17" s="49">
        <f>Model!G77</f>
        <v>-480.5</v>
      </c>
      <c r="H17" s="49">
        <f>Model!H77</f>
        <v>-537</v>
      </c>
      <c r="I17" s="49">
        <f>Model!I77</f>
        <v>-576.5</v>
      </c>
      <c r="J17" s="49">
        <f>Model!J77</f>
        <v>-610.4</v>
      </c>
      <c r="K17" s="49">
        <f>Model!K77</f>
        <v>-646.5</v>
      </c>
      <c r="L17" s="49">
        <f>Model!L77</f>
        <v>-681.25582208567425</v>
      </c>
      <c r="M17" s="49">
        <f>Model!M77</f>
        <v>-720.04200125267323</v>
      </c>
      <c r="N17" s="49">
        <f>Model!N77</f>
        <v>-760.97620782300851</v>
      </c>
      <c r="O17" s="49">
        <f>Model!O77</f>
        <v>-801.97688442658932</v>
      </c>
      <c r="P17" s="49">
        <f>Model!P77</f>
        <v>-841.42304364134418</v>
      </c>
      <c r="Q17" s="49">
        <f>Model!Q77</f>
        <v>-878.55494530881492</v>
      </c>
      <c r="R17" s="49">
        <f>Model!R77</f>
        <v>-913.12392786719829</v>
      </c>
      <c r="S17" s="49">
        <f>Model!S77</f>
        <v>-946.3056190385247</v>
      </c>
    </row>
    <row r="18" spans="2:20" x14ac:dyDescent="0.35">
      <c r="B18" s="61" t="s">
        <v>527</v>
      </c>
      <c r="C18" s="62" t="s">
        <v>167</v>
      </c>
      <c r="D18" s="63"/>
      <c r="E18" s="64">
        <f>Model!E78</f>
        <v>1049.8999999999996</v>
      </c>
      <c r="F18" s="64">
        <f>Model!F78</f>
        <v>835.8</v>
      </c>
      <c r="G18" s="64">
        <f>Model!G78</f>
        <v>950</v>
      </c>
      <c r="H18" s="64">
        <f>Model!H78</f>
        <v>1125.1999999999998</v>
      </c>
      <c r="I18" s="64">
        <f>Model!I78</f>
        <v>1298.2999999999997</v>
      </c>
      <c r="J18" s="64">
        <f>Model!J78</f>
        <v>1453</v>
      </c>
      <c r="K18" s="64">
        <f>Model!K78</f>
        <v>1613.6</v>
      </c>
      <c r="L18" s="64">
        <f>Model!L78</f>
        <v>1701.3324177709658</v>
      </c>
      <c r="M18" s="64">
        <f>Model!M78</f>
        <v>1819.4507179097827</v>
      </c>
      <c r="N18" s="64">
        <f>Model!N78</f>
        <v>1956.305912669912</v>
      </c>
      <c r="O18" s="64">
        <f>Model!O78</f>
        <v>2094.0811129049489</v>
      </c>
      <c r="P18" s="64">
        <f>Model!P78</f>
        <v>2226.7978018152216</v>
      </c>
      <c r="Q18" s="64">
        <f>Model!Q78</f>
        <v>2348.8354180535325</v>
      </c>
      <c r="R18" s="64">
        <f>Model!R78</f>
        <v>2458.8389149661025</v>
      </c>
      <c r="S18" s="64">
        <f>Model!S78</f>
        <v>2559.6181790389001</v>
      </c>
      <c r="T18" s="63"/>
    </row>
    <row r="19" spans="2:20" x14ac:dyDescent="0.35">
      <c r="B19" s="65" t="s">
        <v>526</v>
      </c>
      <c r="C19" s="59" t="s">
        <v>323</v>
      </c>
      <c r="E19" s="69">
        <f t="shared" ref="E19:S19" si="4">E18/E9</f>
        <v>0.27701846965699201</v>
      </c>
      <c r="F19" s="69">
        <f t="shared" si="4"/>
        <v>0.24100346020761243</v>
      </c>
      <c r="G19" s="69">
        <f t="shared" si="4"/>
        <v>0.25899672846237731</v>
      </c>
      <c r="H19" s="69">
        <f t="shared" si="4"/>
        <v>0.26400750821210694</v>
      </c>
      <c r="I19" s="69">
        <f t="shared" si="4"/>
        <v>0.27700021335609126</v>
      </c>
      <c r="J19" s="69">
        <f t="shared" si="4"/>
        <v>0.28800792864222002</v>
      </c>
      <c r="K19" s="69">
        <f t="shared" si="4"/>
        <v>0.29699981593962821</v>
      </c>
      <c r="L19" s="69">
        <f t="shared" si="4"/>
        <v>0.29710082583620123</v>
      </c>
      <c r="M19" s="69">
        <f t="shared" si="4"/>
        <v>0.29906274725860854</v>
      </c>
      <c r="N19" s="69">
        <f t="shared" si="4"/>
        <v>0.30194434490035182</v>
      </c>
      <c r="O19" s="69">
        <f t="shared" si="4"/>
        <v>0.30455440867419764</v>
      </c>
      <c r="P19" s="69">
        <f t="shared" si="4"/>
        <v>0.30680855326617745</v>
      </c>
      <c r="Q19" s="69">
        <f t="shared" si="4"/>
        <v>0.30851700306854257</v>
      </c>
      <c r="R19" s="69">
        <f t="shared" si="4"/>
        <v>0.30972337302136232</v>
      </c>
      <c r="S19" s="69">
        <f t="shared" si="4"/>
        <v>0.31047598211712923</v>
      </c>
    </row>
    <row r="20" spans="2:20" ht="8" customHeight="1" x14ac:dyDescent="0.35"/>
    <row r="21" spans="2:20" x14ac:dyDescent="0.35">
      <c r="B21" s="40" t="s">
        <v>270</v>
      </c>
      <c r="C21" s="59" t="s">
        <v>167</v>
      </c>
      <c r="E21" s="49">
        <f>Model!E84</f>
        <v>-174.3</v>
      </c>
      <c r="F21" s="49">
        <f>Model!F84</f>
        <v>-176.9</v>
      </c>
      <c r="G21" s="49">
        <f>Model!G84</f>
        <v>-179.7</v>
      </c>
      <c r="H21" s="49">
        <f>Model!H84</f>
        <v>-196.1</v>
      </c>
      <c r="I21" s="49">
        <f>Model!I84</f>
        <v>-210.9</v>
      </c>
      <c r="J21" s="49">
        <f>Model!J84</f>
        <v>-227</v>
      </c>
      <c r="K21" s="49">
        <f>Model!K84</f>
        <v>-239.1</v>
      </c>
      <c r="L21" s="49">
        <f>Model!L84</f>
        <v>-251.96371020252172</v>
      </c>
      <c r="M21" s="49">
        <f>Model!M84</f>
        <v>-267.68907970608507</v>
      </c>
      <c r="N21" s="49">
        <f>Model!N84</f>
        <v>-285.07723893912816</v>
      </c>
      <c r="O21" s="49">
        <f>Model!O84</f>
        <v>-302.53894326772212</v>
      </c>
      <c r="P21" s="49">
        <f>Model!P84</f>
        <v>-319.34932138240021</v>
      </c>
      <c r="Q21" s="49">
        <f>Model!Q84</f>
        <v>-334.98561624298759</v>
      </c>
      <c r="R21" s="49">
        <f>Model!R84</f>
        <v>-349.30819460966694</v>
      </c>
      <c r="S21" s="49">
        <f>Model!S84</f>
        <v>-362.74367862446672</v>
      </c>
    </row>
    <row r="22" spans="2:20" x14ac:dyDescent="0.35">
      <c r="B22" s="40" t="s">
        <v>271</v>
      </c>
      <c r="C22" s="59" t="s">
        <v>167</v>
      </c>
      <c r="E22" s="49">
        <f>Model!E90</f>
        <v>-254.7</v>
      </c>
      <c r="F22" s="49">
        <f>Model!F90</f>
        <v>-258</v>
      </c>
      <c r="G22" s="49">
        <f>Model!G90</f>
        <v>-261.2</v>
      </c>
      <c r="H22" s="49">
        <f>Model!H90</f>
        <v>-279.60000000000002</v>
      </c>
      <c r="I22" s="49">
        <f>Model!I90</f>
        <v>-300</v>
      </c>
      <c r="J22" s="49">
        <f>Model!J90</f>
        <v>-318.89999999999998</v>
      </c>
      <c r="K22" s="49">
        <f>Model!K90</f>
        <v>-339</v>
      </c>
      <c r="L22" s="49">
        <f>Model!L90</f>
        <v>-359.81808224299067</v>
      </c>
      <c r="M22" s="49">
        <f>Model!M90</f>
        <v>-381.26438222429908</v>
      </c>
      <c r="N22" s="49">
        <f>Model!N90</f>
        <v>-402.82048383467281</v>
      </c>
      <c r="O22" s="49">
        <f>Model!O90</f>
        <v>-424.3357356898083</v>
      </c>
      <c r="P22" s="49">
        <f>Model!P90</f>
        <v>-444.87023991172686</v>
      </c>
      <c r="Q22" s="49">
        <f>Model!Q90</f>
        <v>-464.31639340076873</v>
      </c>
      <c r="R22" s="49">
        <f>Model!R90</f>
        <v>-482.56069790242236</v>
      </c>
      <c r="S22" s="49">
        <f>Model!S90</f>
        <v>-500.45526209281184</v>
      </c>
    </row>
    <row r="23" spans="2:20" x14ac:dyDescent="0.35">
      <c r="B23" s="40" t="s">
        <v>129</v>
      </c>
      <c r="C23" s="59" t="s">
        <v>167</v>
      </c>
      <c r="E23" s="49">
        <f>Model!E89</f>
        <v>0</v>
      </c>
      <c r="F23" s="49">
        <f>Model!F89</f>
        <v>-45</v>
      </c>
      <c r="G23" s="49">
        <f>Model!G89</f>
        <v>0</v>
      </c>
      <c r="H23" s="49">
        <f>Model!H89</f>
        <v>0</v>
      </c>
      <c r="I23" s="49">
        <f>Model!I89</f>
        <v>-20</v>
      </c>
      <c r="J23" s="49">
        <f>Model!J89</f>
        <v>0</v>
      </c>
      <c r="K23" s="49">
        <f>Model!K89</f>
        <v>0</v>
      </c>
      <c r="L23" s="49">
        <f>Model!L89</f>
        <v>0</v>
      </c>
      <c r="M23" s="49">
        <f>Model!M89</f>
        <v>0</v>
      </c>
      <c r="N23" s="49">
        <f>Model!N89</f>
        <v>0</v>
      </c>
      <c r="O23" s="49">
        <f>Model!O89</f>
        <v>0</v>
      </c>
      <c r="P23" s="49">
        <f>Model!P89</f>
        <v>0</v>
      </c>
      <c r="Q23" s="49">
        <f>Model!Q89</f>
        <v>0</v>
      </c>
      <c r="R23" s="49">
        <f>Model!R89</f>
        <v>0</v>
      </c>
      <c r="S23" s="49">
        <f>Model!S89</f>
        <v>0</v>
      </c>
    </row>
    <row r="24" spans="2:20" x14ac:dyDescent="0.35">
      <c r="B24" s="61" t="s">
        <v>528</v>
      </c>
      <c r="C24" s="62" t="s">
        <v>167</v>
      </c>
      <c r="D24" s="63"/>
      <c r="E24" s="64">
        <f>Model!E91</f>
        <v>620.89999999999964</v>
      </c>
      <c r="F24" s="64">
        <f>Model!F91</f>
        <v>355.9</v>
      </c>
      <c r="G24" s="64">
        <f>Model!G91</f>
        <v>509.09999999999997</v>
      </c>
      <c r="H24" s="64">
        <f>Model!H91</f>
        <v>649.49999999999977</v>
      </c>
      <c r="I24" s="64">
        <f>Model!I91</f>
        <v>767.39999999999964</v>
      </c>
      <c r="J24" s="64">
        <f>Model!J91</f>
        <v>907.1</v>
      </c>
      <c r="K24" s="64">
        <f>Model!K91</f>
        <v>1035.5</v>
      </c>
      <c r="L24" s="64">
        <f>Model!L91</f>
        <v>1089.5506253254534</v>
      </c>
      <c r="M24" s="64">
        <f>Model!M91</f>
        <v>1170.4972559793987</v>
      </c>
      <c r="N24" s="64">
        <f>Model!N91</f>
        <v>1268.408189896111</v>
      </c>
      <c r="O24" s="64">
        <f>Model!O91</f>
        <v>1367.2064339474186</v>
      </c>
      <c r="P24" s="64">
        <f>Model!P91</f>
        <v>1462.5782405210946</v>
      </c>
      <c r="Q24" s="64">
        <f>Model!Q91</f>
        <v>1549.5334084097763</v>
      </c>
      <c r="R24" s="64">
        <f>Model!R91</f>
        <v>1626.9700224540134</v>
      </c>
      <c r="S24" s="64">
        <f>Model!S91</f>
        <v>1696.4192383216216</v>
      </c>
      <c r="T24" s="63"/>
    </row>
    <row r="25" spans="2:20" x14ac:dyDescent="0.35">
      <c r="B25" s="65" t="s">
        <v>526</v>
      </c>
      <c r="C25" s="59" t="s">
        <v>323</v>
      </c>
      <c r="E25" s="69">
        <f t="shared" ref="E25:S25" si="5">E24/E9</f>
        <v>0.16382585751978881</v>
      </c>
      <c r="F25" s="69">
        <f t="shared" si="5"/>
        <v>0.1026239907727797</v>
      </c>
      <c r="G25" s="69">
        <f t="shared" si="5"/>
        <v>0.13879498364231188</v>
      </c>
      <c r="H25" s="69">
        <f t="shared" si="5"/>
        <v>0.15239324260910364</v>
      </c>
      <c r="I25" s="69">
        <f t="shared" si="5"/>
        <v>0.16372946447621073</v>
      </c>
      <c r="J25" s="69">
        <f t="shared" si="5"/>
        <v>0.1798017839444995</v>
      </c>
      <c r="K25" s="69">
        <f t="shared" si="5"/>
        <v>0.19059451500092031</v>
      </c>
      <c r="L25" s="69">
        <f t="shared" si="5"/>
        <v>0.19026639779112187</v>
      </c>
      <c r="M25" s="69">
        <f t="shared" si="5"/>
        <v>0.19239439770812139</v>
      </c>
      <c r="N25" s="69">
        <f t="shared" si="5"/>
        <v>0.19577136555383098</v>
      </c>
      <c r="O25" s="69">
        <f t="shared" si="5"/>
        <v>0.19884079201153398</v>
      </c>
      <c r="P25" s="69">
        <f t="shared" si="5"/>
        <v>0.20151426126210259</v>
      </c>
      <c r="Q25" s="69">
        <f t="shared" si="5"/>
        <v>0.20352954474491528</v>
      </c>
      <c r="R25" s="69">
        <f t="shared" si="5"/>
        <v>0.2049384528982231</v>
      </c>
      <c r="S25" s="69">
        <f t="shared" si="5"/>
        <v>0.20577187387302628</v>
      </c>
    </row>
    <row r="26" spans="2:20" ht="8" customHeight="1" x14ac:dyDescent="0.35"/>
    <row r="27" spans="2:20" x14ac:dyDescent="0.35">
      <c r="B27" s="40" t="s">
        <v>273</v>
      </c>
      <c r="C27" s="59" t="s">
        <v>167</v>
      </c>
      <c r="E27" s="49">
        <f>Model!E94</f>
        <v>-60.3</v>
      </c>
      <c r="F27" s="49">
        <f>Model!F94</f>
        <v>-49.2</v>
      </c>
      <c r="G27" s="49">
        <f>Model!G94</f>
        <v>-44.2</v>
      </c>
      <c r="H27" s="49">
        <f>Model!H94</f>
        <v>-55</v>
      </c>
      <c r="I27" s="49">
        <f>Model!I94</f>
        <v>-84</v>
      </c>
      <c r="J27" s="49">
        <f>Model!J94</f>
        <v>-82.1</v>
      </c>
      <c r="K27" s="49">
        <f>Model!K94</f>
        <v>-80.400000000000006</v>
      </c>
      <c r="L27" s="49">
        <f>Model!L94</f>
        <v>-54.373000000000005</v>
      </c>
      <c r="M27" s="49">
        <f>Model!M94</f>
        <v>-48.810832783721864</v>
      </c>
      <c r="N27" s="49">
        <f>Model!N94</f>
        <v>-50.357634004852841</v>
      </c>
      <c r="O27" s="49">
        <f>Model!O94</f>
        <v>-54.479261545371415</v>
      </c>
      <c r="P27" s="49">
        <f>Model!P94</f>
        <v>-58.637304123475815</v>
      </c>
      <c r="Q27" s="49">
        <f>Model!Q94</f>
        <v>-62.651625072208617</v>
      </c>
      <c r="R27" s="49">
        <f>Model!R94</f>
        <v>-66.316497236346436</v>
      </c>
      <c r="S27" s="49">
        <f>Model!S94</f>
        <v>-69.586426597052807</v>
      </c>
    </row>
    <row r="28" spans="2:20" x14ac:dyDescent="0.35">
      <c r="B28" s="40" t="s">
        <v>274</v>
      </c>
      <c r="C28" s="59" t="s">
        <v>167</v>
      </c>
      <c r="E28" s="49">
        <f>Model!E95</f>
        <v>-63.7</v>
      </c>
      <c r="F28" s="49">
        <f>Model!F95</f>
        <v>-64.5</v>
      </c>
      <c r="G28" s="49">
        <f>Model!G95</f>
        <v>-65.3</v>
      </c>
      <c r="H28" s="49">
        <f>Model!H95</f>
        <v>-69.900000000000006</v>
      </c>
      <c r="I28" s="49">
        <f>Model!I95</f>
        <v>-75</v>
      </c>
      <c r="J28" s="49">
        <f>Model!J95</f>
        <v>-79.7</v>
      </c>
      <c r="K28" s="49">
        <f>Model!K95</f>
        <v>-84.8</v>
      </c>
      <c r="L28" s="49">
        <f>Model!L95</f>
        <v>-89.954520560747667</v>
      </c>
      <c r="M28" s="49">
        <f>Model!M95</f>
        <v>-95.316095556074771</v>
      </c>
      <c r="N28" s="49">
        <f>Model!N95</f>
        <v>-100.7051209586682</v>
      </c>
      <c r="O28" s="49">
        <f>Model!O95</f>
        <v>-106.08393392245208</v>
      </c>
      <c r="P28" s="49">
        <f>Model!P95</f>
        <v>-111.21755997793171</v>
      </c>
      <c r="Q28" s="49">
        <f>Model!Q95</f>
        <v>-116.07909835019218</v>
      </c>
      <c r="R28" s="49">
        <f>Model!R95</f>
        <v>-120.64017447560559</v>
      </c>
      <c r="S28" s="49">
        <f>Model!S95</f>
        <v>-125.11381552320296</v>
      </c>
    </row>
    <row r="29" spans="2:20" x14ac:dyDescent="0.35">
      <c r="B29" s="61" t="s">
        <v>275</v>
      </c>
      <c r="C29" s="62" t="s">
        <v>167</v>
      </c>
      <c r="D29" s="63"/>
      <c r="E29" s="64">
        <f>Model!E96</f>
        <v>496.89999999999969</v>
      </c>
      <c r="F29" s="64">
        <f>Model!F96</f>
        <v>242.2</v>
      </c>
      <c r="G29" s="64">
        <f>Model!G96</f>
        <v>399.59999999999997</v>
      </c>
      <c r="H29" s="64">
        <f>Model!H96</f>
        <v>524.5999999999998</v>
      </c>
      <c r="I29" s="64">
        <f>Model!I96</f>
        <v>608.39999999999964</v>
      </c>
      <c r="J29" s="64">
        <f>Model!J96</f>
        <v>745.3</v>
      </c>
      <c r="K29" s="64">
        <f>Model!K96</f>
        <v>870.30000000000007</v>
      </c>
      <c r="L29" s="64">
        <f>Model!L96</f>
        <v>945.22310476470568</v>
      </c>
      <c r="M29" s="64">
        <f>Model!M96</f>
        <v>1026.370327639602</v>
      </c>
      <c r="N29" s="64">
        <f>Model!N96</f>
        <v>1117.34543493259</v>
      </c>
      <c r="O29" s="64">
        <f>Model!O96</f>
        <v>1206.6432384795951</v>
      </c>
      <c r="P29" s="64">
        <f>Model!P96</f>
        <v>1292.7233764196872</v>
      </c>
      <c r="Q29" s="64">
        <f>Model!Q96</f>
        <v>1370.8026849873754</v>
      </c>
      <c r="R29" s="64">
        <f>Model!R96</f>
        <v>1440.0133507420612</v>
      </c>
      <c r="S29" s="64">
        <f>Model!S96</f>
        <v>1501.7189962013658</v>
      </c>
      <c r="T29" s="63"/>
    </row>
    <row r="30" spans="2:20" ht="8" customHeight="1" x14ac:dyDescent="0.35"/>
    <row r="31" spans="2:20" x14ac:dyDescent="0.35">
      <c r="B31" s="40" t="s">
        <v>276</v>
      </c>
      <c r="C31" s="59" t="s">
        <v>167</v>
      </c>
      <c r="E31" s="49">
        <f>Model!E97</f>
        <v>-114.3</v>
      </c>
      <c r="F31" s="49">
        <f>Model!F97</f>
        <v>-61.3</v>
      </c>
      <c r="G31" s="49">
        <f>Model!G97</f>
        <v>-87.9</v>
      </c>
      <c r="H31" s="49">
        <f>Model!H97</f>
        <v>-115.4</v>
      </c>
      <c r="I31" s="49">
        <f>Model!I97</f>
        <v>-133.80000000000001</v>
      </c>
      <c r="J31" s="49">
        <f>Model!J97</f>
        <v>-164</v>
      </c>
      <c r="K31" s="49">
        <f>Model!K97</f>
        <v>-191.5</v>
      </c>
      <c r="L31" s="49">
        <f>Model!L97</f>
        <v>-207.94908304823525</v>
      </c>
      <c r="M31" s="49">
        <f>Model!M97</f>
        <v>-225.80147208071244</v>
      </c>
      <c r="N31" s="49">
        <f>Model!N97</f>
        <v>-245.81599568516981</v>
      </c>
      <c r="O31" s="49">
        <f>Model!O97</f>
        <v>-265.46151246551091</v>
      </c>
      <c r="P31" s="49">
        <f>Model!P97</f>
        <v>-284.39914281233115</v>
      </c>
      <c r="Q31" s="49">
        <f>Model!Q97</f>
        <v>-301.57659069722257</v>
      </c>
      <c r="R31" s="49">
        <f>Model!R97</f>
        <v>-316.80293716325349</v>
      </c>
      <c r="S31" s="49">
        <f>Model!S97</f>
        <v>-330.37817916430049</v>
      </c>
    </row>
    <row r="32" spans="2:20" x14ac:dyDescent="0.35">
      <c r="B32" s="61" t="s">
        <v>277</v>
      </c>
      <c r="C32" s="62" t="s">
        <v>167</v>
      </c>
      <c r="D32" s="63"/>
      <c r="E32" s="64">
        <f>Model!E98</f>
        <v>382.59999999999968</v>
      </c>
      <c r="F32" s="64">
        <f>Model!F98</f>
        <v>180.89999999999998</v>
      </c>
      <c r="G32" s="64">
        <f>Model!G98</f>
        <v>311.69999999999993</v>
      </c>
      <c r="H32" s="64">
        <f>Model!H98</f>
        <v>409.19999999999982</v>
      </c>
      <c r="I32" s="64">
        <f>Model!I98</f>
        <v>474.59999999999962</v>
      </c>
      <c r="J32" s="64">
        <f>Model!J98</f>
        <v>581.29999999999995</v>
      </c>
      <c r="K32" s="64">
        <f>Model!K98</f>
        <v>678.80000000000007</v>
      </c>
      <c r="L32" s="64">
        <f>Model!L98</f>
        <v>737.27402171647043</v>
      </c>
      <c r="M32" s="64">
        <f>Model!M98</f>
        <v>800.5688555588896</v>
      </c>
      <c r="N32" s="64">
        <f>Model!N98</f>
        <v>871.52943924742021</v>
      </c>
      <c r="O32" s="64">
        <f>Model!O98</f>
        <v>941.18172601408423</v>
      </c>
      <c r="P32" s="64">
        <f>Model!P98</f>
        <v>1008.3242336073561</v>
      </c>
      <c r="Q32" s="64">
        <f>Model!Q98</f>
        <v>1069.2260942901528</v>
      </c>
      <c r="R32" s="64">
        <f>Model!R98</f>
        <v>1123.2104135788077</v>
      </c>
      <c r="S32" s="64">
        <f>Model!S98</f>
        <v>1171.3408170370653</v>
      </c>
      <c r="T32" s="63"/>
    </row>
    <row r="33" spans="2:20" x14ac:dyDescent="0.35">
      <c r="B33" s="40" t="s">
        <v>209</v>
      </c>
      <c r="C33" s="59" t="s">
        <v>167</v>
      </c>
      <c r="E33" s="49">
        <f>Model!E99</f>
        <v>-3.8</v>
      </c>
      <c r="F33" s="49">
        <f>Model!F99</f>
        <v>-1.8</v>
      </c>
      <c r="G33" s="49">
        <f>Model!G99</f>
        <v>-3.1</v>
      </c>
      <c r="H33" s="49">
        <f>Model!H99</f>
        <v>-4.0999999999999996</v>
      </c>
      <c r="I33" s="49">
        <f>Model!I99</f>
        <v>-4.7</v>
      </c>
      <c r="J33" s="49">
        <f>Model!J99</f>
        <v>-5.8</v>
      </c>
      <c r="K33" s="49">
        <f>Model!K99</f>
        <v>-6.8</v>
      </c>
      <c r="L33" s="49">
        <f>Model!L99</f>
        <v>-7.3727402171647043</v>
      </c>
      <c r="M33" s="49">
        <f>Model!M99</f>
        <v>-8.0056885555888968</v>
      </c>
      <c r="N33" s="49">
        <f>Model!N99</f>
        <v>-8.7152943924742026</v>
      </c>
      <c r="O33" s="49">
        <f>Model!O99</f>
        <v>-9.4118172601408432</v>
      </c>
      <c r="P33" s="49">
        <f>Model!P99</f>
        <v>-10.08324233607356</v>
      </c>
      <c r="Q33" s="49">
        <f>Model!Q99</f>
        <v>-10.692260942901529</v>
      </c>
      <c r="R33" s="49">
        <f>Model!R99</f>
        <v>-11.232104135788077</v>
      </c>
      <c r="S33" s="49">
        <f>Model!S99</f>
        <v>-11.713408170370654</v>
      </c>
    </row>
    <row r="34" spans="2:20" x14ac:dyDescent="0.35">
      <c r="B34" s="103" t="s">
        <v>278</v>
      </c>
      <c r="C34" s="104" t="s">
        <v>167</v>
      </c>
      <c r="D34" s="105"/>
      <c r="E34" s="106">
        <f>Model!E100</f>
        <v>378.79999999999967</v>
      </c>
      <c r="F34" s="106">
        <f>Model!F100</f>
        <v>179.09999999999997</v>
      </c>
      <c r="G34" s="106">
        <f>Model!G100</f>
        <v>308.59999999999991</v>
      </c>
      <c r="H34" s="106">
        <f>Model!H100</f>
        <v>405.0999999999998</v>
      </c>
      <c r="I34" s="106">
        <f>Model!I100</f>
        <v>469.89999999999964</v>
      </c>
      <c r="J34" s="106">
        <f>Model!J100</f>
        <v>575.5</v>
      </c>
      <c r="K34" s="106">
        <f>Model!K100</f>
        <v>672.00000000000011</v>
      </c>
      <c r="L34" s="106">
        <f>Model!L100</f>
        <v>729.9012814993057</v>
      </c>
      <c r="M34" s="106">
        <f>Model!M100</f>
        <v>792.56316700330069</v>
      </c>
      <c r="N34" s="106">
        <f>Model!N100</f>
        <v>862.81414485494599</v>
      </c>
      <c r="O34" s="106">
        <f>Model!O100</f>
        <v>931.76990875394335</v>
      </c>
      <c r="P34" s="106">
        <f>Model!P100</f>
        <v>998.2409912712825</v>
      </c>
      <c r="Q34" s="106">
        <f>Model!Q100</f>
        <v>1058.5338333472512</v>
      </c>
      <c r="R34" s="106">
        <f>Model!R100</f>
        <v>1111.9783094430195</v>
      </c>
      <c r="S34" s="106">
        <f>Model!S100</f>
        <v>1159.6274088666946</v>
      </c>
      <c r="T34" s="105"/>
    </row>
    <row r="35" spans="2:20" x14ac:dyDescent="0.35">
      <c r="B35" s="65" t="s">
        <v>526</v>
      </c>
      <c r="C35" s="59" t="s">
        <v>323</v>
      </c>
      <c r="E35" s="69">
        <f t="shared" ref="E35:S35" si="6">E34/E9</f>
        <v>9.9947229551451106E-2</v>
      </c>
      <c r="F35" s="69">
        <f t="shared" si="6"/>
        <v>5.1643598615916948E-2</v>
      </c>
      <c r="G35" s="69">
        <f t="shared" si="6"/>
        <v>8.4133042529989072E-2</v>
      </c>
      <c r="H35" s="69">
        <f t="shared" si="6"/>
        <v>9.5049272641952093E-2</v>
      </c>
      <c r="I35" s="69">
        <f t="shared" si="6"/>
        <v>0.10025602730957961</v>
      </c>
      <c r="J35" s="69">
        <f t="shared" si="6"/>
        <v>0.11407333994053519</v>
      </c>
      <c r="K35" s="69">
        <f t="shared" si="6"/>
        <v>0.12368856985091112</v>
      </c>
      <c r="L35" s="69">
        <f t="shared" si="6"/>
        <v>0.12746143625268788</v>
      </c>
      <c r="M35" s="69">
        <f t="shared" si="6"/>
        <v>0.13027344778664315</v>
      </c>
      <c r="N35" s="69">
        <f t="shared" si="6"/>
        <v>0.13317030330058705</v>
      </c>
      <c r="O35" s="69">
        <f t="shared" si="6"/>
        <v>0.13551272289892857</v>
      </c>
      <c r="P35" s="69">
        <f t="shared" si="6"/>
        <v>0.1375378016330335</v>
      </c>
      <c r="Q35" s="69">
        <f t="shared" si="6"/>
        <v>0.13903727924095319</v>
      </c>
      <c r="R35" s="69">
        <f t="shared" si="6"/>
        <v>0.14006841628827571</v>
      </c>
      <c r="S35" s="69">
        <f t="shared" si="6"/>
        <v>0.14066022096819819</v>
      </c>
    </row>
    <row r="36" spans="2:20" ht="8" customHeight="1" x14ac:dyDescent="0.35"/>
    <row r="37" spans="2:20" x14ac:dyDescent="0.35">
      <c r="B37" s="18" t="s">
        <v>529</v>
      </c>
      <c r="C37" s="85"/>
      <c r="D37" s="85"/>
      <c r="E37" s="85"/>
      <c r="F37" s="85"/>
      <c r="G37" s="85"/>
      <c r="H37" s="85"/>
      <c r="I37" s="85"/>
      <c r="J37" s="85"/>
      <c r="K37" s="85"/>
      <c r="L37" s="85"/>
      <c r="M37" s="85"/>
      <c r="N37" s="85"/>
      <c r="O37" s="85"/>
      <c r="P37" s="85"/>
      <c r="Q37" s="85"/>
      <c r="R37" s="85"/>
      <c r="S37" s="85"/>
      <c r="T37" s="85"/>
    </row>
    <row r="38" spans="2:20" x14ac:dyDescent="0.35">
      <c r="B38" s="40" t="s">
        <v>530</v>
      </c>
      <c r="C38" s="59" t="s">
        <v>167</v>
      </c>
      <c r="E38" s="49">
        <f>Model!E82</f>
        <v>731.49999999999966</v>
      </c>
      <c r="F38" s="49">
        <f>Model!F82</f>
        <v>513.29999999999995</v>
      </c>
      <c r="G38" s="49">
        <f>Model!G82</f>
        <v>623.5</v>
      </c>
      <c r="H38" s="49">
        <f>Model!H82</f>
        <v>775.69999999999982</v>
      </c>
      <c r="I38" s="49">
        <f>Model!I82</f>
        <v>923.29999999999973</v>
      </c>
      <c r="J38" s="49">
        <f>Model!J82</f>
        <v>1054.4000000000001</v>
      </c>
      <c r="K38" s="49">
        <f>Model!K82</f>
        <v>1189.8</v>
      </c>
      <c r="L38" s="49">
        <f>Model!L82</f>
        <v>1251.5598149672273</v>
      </c>
      <c r="M38" s="49">
        <f>Model!M82</f>
        <v>1342.870240129409</v>
      </c>
      <c r="N38" s="49">
        <f>Model!N82</f>
        <v>1452.780307876571</v>
      </c>
      <c r="O38" s="49">
        <f>Model!O82</f>
        <v>1563.6614432926885</v>
      </c>
      <c r="P38" s="49">
        <f>Model!P82</f>
        <v>1670.7100019255631</v>
      </c>
      <c r="Q38" s="49">
        <f>Model!Q82</f>
        <v>1768.4399263025716</v>
      </c>
      <c r="R38" s="49">
        <f>Model!R82</f>
        <v>1855.6380425880745</v>
      </c>
      <c r="S38" s="49">
        <f>Model!S82</f>
        <v>1934.0491014228853</v>
      </c>
    </row>
    <row r="39" spans="2:20" x14ac:dyDescent="0.35">
      <c r="B39" s="11" t="s">
        <v>283</v>
      </c>
      <c r="C39" s="59" t="s">
        <v>167</v>
      </c>
      <c r="E39" s="51">
        <f>Model!E85</f>
        <v>557.19999999999959</v>
      </c>
      <c r="F39" s="51">
        <f>Model!F85</f>
        <v>336.4</v>
      </c>
      <c r="G39" s="51">
        <f>Model!G85</f>
        <v>443.8</v>
      </c>
      <c r="H39" s="51">
        <f>Model!H85</f>
        <v>579.5999999999998</v>
      </c>
      <c r="I39" s="51">
        <f>Model!I85</f>
        <v>712.39999999999975</v>
      </c>
      <c r="J39" s="51">
        <f>Model!J85</f>
        <v>827.40000000000009</v>
      </c>
      <c r="K39" s="51">
        <f>Model!K85</f>
        <v>950.69999999999993</v>
      </c>
      <c r="L39" s="51">
        <f>Model!L85</f>
        <v>999.59610476470561</v>
      </c>
      <c r="M39" s="51">
        <f>Model!M85</f>
        <v>1075.1811604233239</v>
      </c>
      <c r="N39" s="51">
        <f>Model!N85</f>
        <v>1167.7030689374428</v>
      </c>
      <c r="O39" s="51">
        <f>Model!O85</f>
        <v>1261.1225000249665</v>
      </c>
      <c r="P39" s="51">
        <f>Model!P85</f>
        <v>1351.360680543163</v>
      </c>
      <c r="Q39" s="51">
        <f>Model!Q85</f>
        <v>1433.454310059584</v>
      </c>
      <c r="R39" s="51">
        <f>Model!R85</f>
        <v>1506.3298479784075</v>
      </c>
      <c r="S39" s="51">
        <f>Model!S85</f>
        <v>1571.3054227984185</v>
      </c>
    </row>
    <row r="40" spans="2:20" x14ac:dyDescent="0.35">
      <c r="B40" s="65" t="s">
        <v>526</v>
      </c>
      <c r="C40" s="59" t="s">
        <v>323</v>
      </c>
      <c r="E40" s="69">
        <f t="shared" ref="E40:S40" si="7">E39/E9</f>
        <v>0.14701846965699197</v>
      </c>
      <c r="F40" s="69">
        <f t="shared" si="7"/>
        <v>9.7001153402537482E-2</v>
      </c>
      <c r="G40" s="69">
        <f t="shared" si="7"/>
        <v>0.12099236641221374</v>
      </c>
      <c r="H40" s="69">
        <f t="shared" si="7"/>
        <v>0.13599249178789297</v>
      </c>
      <c r="I40" s="69">
        <f t="shared" si="7"/>
        <v>0.15199487945380835</v>
      </c>
      <c r="J40" s="69">
        <f t="shared" si="7"/>
        <v>0.16400396432111003</v>
      </c>
      <c r="K40" s="69">
        <f t="shared" si="7"/>
        <v>0.17498619547211483</v>
      </c>
      <c r="L40" s="69">
        <f t="shared" si="7"/>
        <v>0.17455779077985198</v>
      </c>
      <c r="M40" s="69">
        <f t="shared" si="7"/>
        <v>0.1767273103204996</v>
      </c>
      <c r="N40" s="69">
        <f t="shared" si="7"/>
        <v>0.18022812071720079</v>
      </c>
      <c r="O40" s="69">
        <f t="shared" si="7"/>
        <v>0.18341238784586805</v>
      </c>
      <c r="P40" s="69">
        <f t="shared" si="7"/>
        <v>0.1861906882610839</v>
      </c>
      <c r="Q40" s="69">
        <f t="shared" si="7"/>
        <v>0.18828268016400843</v>
      </c>
      <c r="R40" s="69">
        <f t="shared" si="7"/>
        <v>0.18974222286743828</v>
      </c>
      <c r="S40" s="69">
        <f t="shared" si="7"/>
        <v>0.19059584681200054</v>
      </c>
    </row>
    <row r="41" spans="2:20" x14ac:dyDescent="0.35">
      <c r="B41" s="40" t="s">
        <v>347</v>
      </c>
      <c r="C41" s="59" t="s">
        <v>165</v>
      </c>
      <c r="E41" s="74">
        <f>Model!E105</f>
        <v>4.4564705882352902</v>
      </c>
      <c r="F41" s="74">
        <f>Model!F105</f>
        <v>2.1070588235294112</v>
      </c>
      <c r="G41" s="74">
        <f>Model!G105</f>
        <v>3.6305882352941166</v>
      </c>
      <c r="H41" s="74">
        <f>Model!H105</f>
        <v>4.7658823529411745</v>
      </c>
      <c r="I41" s="74">
        <f>Model!I105</f>
        <v>5.5282352941176427</v>
      </c>
      <c r="J41" s="74">
        <f>Model!J105</f>
        <v>6.7705882352941176</v>
      </c>
      <c r="K41" s="74">
        <f>Model!K105</f>
        <v>7.9058823529411777</v>
      </c>
      <c r="L41" s="74">
        <f>Model!L105</f>
        <v>8.5718035380831878</v>
      </c>
      <c r="M41" s="74">
        <f>Model!M105</f>
        <v>9.4823133207569885</v>
      </c>
      <c r="N41" s="74">
        <f>Model!N105</f>
        <v>10.506241450121808</v>
      </c>
      <c r="O41" s="74">
        <f>Model!O105</f>
        <v>11.531652797805895</v>
      </c>
      <c r="P41" s="74">
        <f>Model!P105</f>
        <v>12.529896427823948</v>
      </c>
      <c r="Q41" s="74">
        <f>Model!Q105</f>
        <v>13.436387050328079</v>
      </c>
      <c r="R41" s="74">
        <f>Model!R105</f>
        <v>14.229632983510948</v>
      </c>
      <c r="S41" s="74">
        <f>Model!S105</f>
        <v>14.942224175054111</v>
      </c>
    </row>
    <row r="42" spans="2:20" x14ac:dyDescent="0.35">
      <c r="B42" s="40" t="s">
        <v>489</v>
      </c>
      <c r="C42" s="59" t="s">
        <v>165</v>
      </c>
      <c r="E42" s="74">
        <f>Model!E107</f>
        <v>0</v>
      </c>
      <c r="F42" s="74">
        <f>Model!F107</f>
        <v>0</v>
      </c>
      <c r="G42" s="74">
        <f>Model!G107</f>
        <v>2.5</v>
      </c>
      <c r="H42" s="74">
        <f>Model!H107</f>
        <v>3.5</v>
      </c>
      <c r="I42" s="74">
        <f>Model!I107</f>
        <v>4.2</v>
      </c>
      <c r="J42" s="74">
        <f>Model!J107</f>
        <v>4.8</v>
      </c>
      <c r="K42" s="74">
        <f>Model!K107</f>
        <v>5.4</v>
      </c>
      <c r="L42" s="74">
        <f>Model!L107</f>
        <v>5.5716722997540726</v>
      </c>
      <c r="M42" s="74">
        <f>Model!M107</f>
        <v>6.6376193245298918</v>
      </c>
      <c r="N42" s="74">
        <f>Model!N107</f>
        <v>7.8796810875913561</v>
      </c>
      <c r="O42" s="74">
        <f>Model!O107</f>
        <v>9.2253222382447166</v>
      </c>
      <c r="P42" s="74">
        <f>Model!P107</f>
        <v>10.650411963650356</v>
      </c>
      <c r="Q42" s="74">
        <f>Model!Q107</f>
        <v>12.092748345295272</v>
      </c>
      <c r="R42" s="74">
        <f>Model!R107</f>
        <v>12.806669685159854</v>
      </c>
      <c r="S42" s="74">
        <f>Model!S107</f>
        <v>13.448001757548701</v>
      </c>
    </row>
    <row r="43" spans="2:20" ht="8" customHeight="1" x14ac:dyDescent="0.35"/>
    <row r="44" spans="2:20" ht="14.5" customHeight="1" x14ac:dyDescent="0.35">
      <c r="B44" s="9" t="s">
        <v>531</v>
      </c>
      <c r="C44" s="9"/>
      <c r="D44" s="9"/>
      <c r="E44" s="9"/>
      <c r="F44" s="9"/>
      <c r="G44" s="9"/>
      <c r="H44" s="9"/>
      <c r="I44" s="9"/>
      <c r="J44" s="9"/>
      <c r="K44" s="9"/>
      <c r="L44" s="9"/>
      <c r="M44" s="9"/>
      <c r="N44" s="9"/>
      <c r="O44" s="9"/>
      <c r="P44" s="9"/>
      <c r="Q44" s="9"/>
      <c r="R44" s="9"/>
      <c r="S44" s="9"/>
      <c r="T44" s="9"/>
    </row>
    <row r="45" spans="2:20" ht="5" customHeight="1" x14ac:dyDescent="0.35"/>
    <row r="46" spans="2:20" x14ac:dyDescent="0.35">
      <c r="B46" s="40" t="s">
        <v>340</v>
      </c>
      <c r="C46" s="59" t="s">
        <v>167</v>
      </c>
      <c r="E46" s="49">
        <f>Model!E112</f>
        <v>-227.40000000000003</v>
      </c>
      <c r="F46" s="49">
        <f>Model!F112</f>
        <v>-180.3</v>
      </c>
      <c r="G46" s="49">
        <f>Model!G112</f>
        <v>-205.40000000000003</v>
      </c>
      <c r="H46" s="49">
        <f>Model!H112</f>
        <v>-260.00000000000006</v>
      </c>
      <c r="I46" s="49">
        <f>Model!I112</f>
        <v>-295.3</v>
      </c>
      <c r="J46" s="49">
        <f>Model!J112</f>
        <v>-322.90000000000003</v>
      </c>
      <c r="K46" s="49">
        <f>Model!K112</f>
        <v>-353.09999999999997</v>
      </c>
      <c r="L46" s="49">
        <f>Model!L112</f>
        <v>-372.21911734463441</v>
      </c>
      <c r="M46" s="49">
        <f>Model!M112</f>
        <v>-395.44977683853477</v>
      </c>
      <c r="N46" s="49">
        <f>Model!N112</f>
        <v>-421.13683025098481</v>
      </c>
      <c r="O46" s="49">
        <f>Model!O112</f>
        <v>-446.93252982731684</v>
      </c>
      <c r="P46" s="49">
        <f>Model!P112</f>
        <v>-471.76604295127305</v>
      </c>
      <c r="Q46" s="49">
        <f>Model!Q112</f>
        <v>-494.86511490441347</v>
      </c>
      <c r="R46" s="49">
        <f>Model!R112</f>
        <v>-516.02346930973533</v>
      </c>
      <c r="S46" s="49">
        <f>Model!S112</f>
        <v>-535.87134342250772</v>
      </c>
    </row>
    <row r="47" spans="2:20" x14ac:dyDescent="0.35">
      <c r="B47" s="40" t="s">
        <v>496</v>
      </c>
      <c r="C47" s="59" t="s">
        <v>167</v>
      </c>
      <c r="E47" s="49">
        <f>Model!E117</f>
        <v>1072.8</v>
      </c>
      <c r="F47" s="49">
        <f>Model!F117</f>
        <v>1020.7</v>
      </c>
      <c r="G47" s="49">
        <f>Model!G117</f>
        <v>1002.4</v>
      </c>
      <c r="H47" s="49">
        <f>Model!H117</f>
        <v>1245</v>
      </c>
      <c r="I47" s="49">
        <f>Model!I117</f>
        <v>1287.2</v>
      </c>
      <c r="J47" s="49">
        <f>Model!J117</f>
        <v>1437.5</v>
      </c>
      <c r="K47" s="49">
        <f>Model!K117</f>
        <v>1470.1</v>
      </c>
      <c r="L47" s="49">
        <f>Model!L117</f>
        <v>1658.4586877548893</v>
      </c>
      <c r="M47" s="49">
        <f>Model!M117</f>
        <v>1853.1617440784466</v>
      </c>
      <c r="N47" s="49">
        <f>Model!N117</f>
        <v>2053.7359130246914</v>
      </c>
      <c r="O47" s="49">
        <f>Model!O117</f>
        <v>2237.19122347029</v>
      </c>
      <c r="P47" s="49">
        <f>Model!P117</f>
        <v>2402.2388582042536</v>
      </c>
      <c r="Q47" s="49">
        <f>Model!Q117</f>
        <v>2547.5187149646608</v>
      </c>
      <c r="R47" s="49">
        <f>Model!R117</f>
        <v>2671.6516505932518</v>
      </c>
      <c r="S47" s="49">
        <f>Model!S117</f>
        <v>2799.4166976784068</v>
      </c>
    </row>
    <row r="48" spans="2:20" x14ac:dyDescent="0.35">
      <c r="B48" s="40" t="s">
        <v>285</v>
      </c>
      <c r="C48" s="59" t="s">
        <v>167</v>
      </c>
      <c r="E48" s="49">
        <f>Model!E118</f>
        <v>1800</v>
      </c>
      <c r="F48" s="49">
        <f>Model!F118</f>
        <v>1800</v>
      </c>
      <c r="G48" s="49">
        <f>Model!G118</f>
        <v>1800</v>
      </c>
      <c r="H48" s="49">
        <f>Model!H118</f>
        <v>2400</v>
      </c>
      <c r="I48" s="49">
        <f>Model!I118</f>
        <v>2400</v>
      </c>
      <c r="J48" s="49">
        <f>Model!J118</f>
        <v>2730</v>
      </c>
      <c r="K48" s="49">
        <f>Model!K118</f>
        <v>2730</v>
      </c>
      <c r="L48" s="49">
        <f>Model!L118</f>
        <v>2730</v>
      </c>
      <c r="M48" s="49">
        <f>Model!M118</f>
        <v>2730</v>
      </c>
      <c r="N48" s="49">
        <f>Model!N118</f>
        <v>2730</v>
      </c>
      <c r="O48" s="49">
        <f>Model!O118</f>
        <v>2730</v>
      </c>
      <c r="P48" s="49">
        <f>Model!P118</f>
        <v>2730</v>
      </c>
      <c r="Q48" s="49">
        <f>Model!Q118</f>
        <v>2730</v>
      </c>
      <c r="R48" s="49">
        <f>Model!R118</f>
        <v>2730</v>
      </c>
      <c r="S48" s="49">
        <f>Model!S118</f>
        <v>2730</v>
      </c>
    </row>
    <row r="49" spans="2:20" x14ac:dyDescent="0.35">
      <c r="B49" s="103" t="s">
        <v>342</v>
      </c>
      <c r="C49" s="104" t="s">
        <v>167</v>
      </c>
      <c r="D49" s="105"/>
      <c r="E49" s="106">
        <f t="shared" ref="E49:S49" si="8">E46+E47+E48</f>
        <v>2645.3999999999996</v>
      </c>
      <c r="F49" s="106">
        <f t="shared" si="8"/>
        <v>2640.4</v>
      </c>
      <c r="G49" s="106">
        <f t="shared" si="8"/>
        <v>2597</v>
      </c>
      <c r="H49" s="106">
        <f t="shared" si="8"/>
        <v>3385</v>
      </c>
      <c r="I49" s="106">
        <f t="shared" si="8"/>
        <v>3391.9</v>
      </c>
      <c r="J49" s="106">
        <f t="shared" si="8"/>
        <v>3844.6</v>
      </c>
      <c r="K49" s="106">
        <f t="shared" si="8"/>
        <v>3847</v>
      </c>
      <c r="L49" s="106">
        <f t="shared" si="8"/>
        <v>4016.2395704102546</v>
      </c>
      <c r="M49" s="106">
        <f t="shared" si="8"/>
        <v>4187.7119672399122</v>
      </c>
      <c r="N49" s="106">
        <f t="shared" si="8"/>
        <v>4362.5990827737069</v>
      </c>
      <c r="O49" s="106">
        <f t="shared" si="8"/>
        <v>4520.2586936429734</v>
      </c>
      <c r="P49" s="106">
        <f t="shared" si="8"/>
        <v>4660.4728152529806</v>
      </c>
      <c r="Q49" s="106">
        <f t="shared" si="8"/>
        <v>4782.6536000602473</v>
      </c>
      <c r="R49" s="106">
        <f t="shared" si="8"/>
        <v>4885.6281812835168</v>
      </c>
      <c r="S49" s="106">
        <f t="shared" si="8"/>
        <v>4993.5453542558989</v>
      </c>
      <c r="T49" s="105"/>
    </row>
    <row r="50" spans="2:20" ht="8" customHeight="1" x14ac:dyDescent="0.35"/>
    <row r="51" spans="2:20" x14ac:dyDescent="0.35">
      <c r="B51" s="40" t="s">
        <v>288</v>
      </c>
      <c r="C51" s="59" t="s">
        <v>167</v>
      </c>
      <c r="E51" s="49">
        <f>Model!E140</f>
        <v>1267.3</v>
      </c>
      <c r="F51" s="49">
        <f>Model!F140</f>
        <v>1284.5</v>
      </c>
      <c r="G51" s="49">
        <f>Model!G140</f>
        <v>1301.3</v>
      </c>
      <c r="H51" s="49">
        <f>Model!H140</f>
        <v>1397.9</v>
      </c>
      <c r="I51" s="49">
        <f>Model!I140</f>
        <v>1505</v>
      </c>
      <c r="J51" s="49">
        <f>Model!J140</f>
        <v>1604.1</v>
      </c>
      <c r="K51" s="49">
        <f>Model!K140</f>
        <v>1710</v>
      </c>
      <c r="L51" s="49">
        <f>Model!L140</f>
        <v>1819.0873831775698</v>
      </c>
      <c r="M51" s="49">
        <f>Model!M140</f>
        <v>1931.6829883177568</v>
      </c>
      <c r="N51" s="49">
        <f>Model!N140</f>
        <v>2044.8550649649526</v>
      </c>
      <c r="O51" s="49">
        <f>Model!O140</f>
        <v>2157.8126755776862</v>
      </c>
      <c r="P51" s="49">
        <f>Model!P140</f>
        <v>2265.6212454072488</v>
      </c>
      <c r="Q51" s="49">
        <f>Model!Q140</f>
        <v>2367.7158454853952</v>
      </c>
      <c r="R51" s="49">
        <f>Model!R140</f>
        <v>2463.5005965853934</v>
      </c>
      <c r="S51" s="49">
        <f>Model!S140</f>
        <v>2557.4491697888302</v>
      </c>
    </row>
    <row r="52" spans="2:20" x14ac:dyDescent="0.35">
      <c r="B52" s="40" t="s">
        <v>289</v>
      </c>
      <c r="C52" s="59" t="s">
        <v>167</v>
      </c>
      <c r="E52" s="49">
        <f>Model!E141</f>
        <v>55</v>
      </c>
      <c r="F52" s="49">
        <f>Model!F141</f>
        <v>55</v>
      </c>
      <c r="G52" s="49">
        <f>Model!G141</f>
        <v>55</v>
      </c>
      <c r="H52" s="49">
        <f>Model!H141</f>
        <v>55</v>
      </c>
      <c r="I52" s="49">
        <f>Model!I141</f>
        <v>55</v>
      </c>
      <c r="J52" s="49">
        <f>Model!J141</f>
        <v>55</v>
      </c>
      <c r="K52" s="49">
        <f>Model!K141</f>
        <v>55</v>
      </c>
      <c r="L52" s="49">
        <f>Model!L141</f>
        <v>55</v>
      </c>
      <c r="M52" s="49">
        <f>Model!M141</f>
        <v>55</v>
      </c>
      <c r="N52" s="49">
        <f>Model!N141</f>
        <v>55</v>
      </c>
      <c r="O52" s="49">
        <f>Model!O141</f>
        <v>55</v>
      </c>
      <c r="P52" s="49">
        <f>Model!P141</f>
        <v>55</v>
      </c>
      <c r="Q52" s="49">
        <f>Model!Q141</f>
        <v>55</v>
      </c>
      <c r="R52" s="49">
        <f>Model!R141</f>
        <v>55</v>
      </c>
      <c r="S52" s="49">
        <f>Model!S141</f>
        <v>55</v>
      </c>
    </row>
    <row r="53" spans="2:20" x14ac:dyDescent="0.35">
      <c r="B53" s="103" t="s">
        <v>532</v>
      </c>
      <c r="C53" s="104" t="s">
        <v>167</v>
      </c>
      <c r="D53" s="105"/>
      <c r="E53" s="106">
        <f t="shared" ref="E53:S53" si="9">E49+E51+E52</f>
        <v>3967.7</v>
      </c>
      <c r="F53" s="106">
        <f t="shared" si="9"/>
        <v>3979.9</v>
      </c>
      <c r="G53" s="106">
        <f t="shared" si="9"/>
        <v>3953.3</v>
      </c>
      <c r="H53" s="106">
        <f t="shared" si="9"/>
        <v>4837.8999999999996</v>
      </c>
      <c r="I53" s="106">
        <f t="shared" si="9"/>
        <v>4951.8999999999996</v>
      </c>
      <c r="J53" s="106">
        <f t="shared" si="9"/>
        <v>5503.7</v>
      </c>
      <c r="K53" s="106">
        <f t="shared" si="9"/>
        <v>5612</v>
      </c>
      <c r="L53" s="106">
        <f t="shared" si="9"/>
        <v>5890.3269535878244</v>
      </c>
      <c r="M53" s="106">
        <f t="shared" si="9"/>
        <v>6174.3949555576692</v>
      </c>
      <c r="N53" s="106">
        <f t="shared" si="9"/>
        <v>6462.4541477386592</v>
      </c>
      <c r="O53" s="106">
        <f t="shared" si="9"/>
        <v>6733.0713692206591</v>
      </c>
      <c r="P53" s="106">
        <f t="shared" si="9"/>
        <v>6981.0940606602289</v>
      </c>
      <c r="Q53" s="106">
        <f t="shared" si="9"/>
        <v>7205.3694455456425</v>
      </c>
      <c r="R53" s="106">
        <f t="shared" si="9"/>
        <v>7404.1287778689102</v>
      </c>
      <c r="S53" s="106">
        <f t="shared" si="9"/>
        <v>7605.9945240447287</v>
      </c>
      <c r="T53" s="105"/>
    </row>
    <row r="54" spans="2:20" ht="8" customHeight="1" x14ac:dyDescent="0.35"/>
    <row r="55" spans="2:20" x14ac:dyDescent="0.35">
      <c r="B55" s="40" t="s">
        <v>206</v>
      </c>
      <c r="C55" s="59" t="s">
        <v>167</v>
      </c>
      <c r="E55" s="49">
        <f>Model!E135</f>
        <v>1148.5</v>
      </c>
      <c r="F55" s="49">
        <f>Model!F135</f>
        <v>962.6</v>
      </c>
      <c r="G55" s="49">
        <f>Model!G135</f>
        <v>607.5</v>
      </c>
      <c r="H55" s="49">
        <f>Model!H135</f>
        <v>1198.8</v>
      </c>
      <c r="I55" s="49">
        <f>Model!I135</f>
        <v>1028.5999999999999</v>
      </c>
      <c r="J55" s="49">
        <f>Model!J135</f>
        <v>1257</v>
      </c>
      <c r="K55" s="49">
        <f>Model!K135</f>
        <v>988.6</v>
      </c>
      <c r="L55" s="49">
        <f>Model!L135</f>
        <v>938.6698612254205</v>
      </c>
      <c r="M55" s="49">
        <f>Model!M135</f>
        <v>1007.1526800970568</v>
      </c>
      <c r="N55" s="49">
        <f>Model!N135</f>
        <v>1089.5852309074282</v>
      </c>
      <c r="O55" s="49">
        <f>Model!O135</f>
        <v>1172.7460824695163</v>
      </c>
      <c r="P55" s="49">
        <f>Model!P135</f>
        <v>1253.0325014441723</v>
      </c>
      <c r="Q55" s="49">
        <f>Model!Q135</f>
        <v>1326.3299447269287</v>
      </c>
      <c r="R55" s="49">
        <f>Model!R135</f>
        <v>1391.728531941056</v>
      </c>
      <c r="S55" s="49">
        <f>Model!S135</f>
        <v>1450.5368260671639</v>
      </c>
    </row>
    <row r="56" spans="2:20" x14ac:dyDescent="0.35">
      <c r="B56" s="40" t="s">
        <v>515</v>
      </c>
      <c r="C56" s="59" t="s">
        <v>167</v>
      </c>
      <c r="E56" s="49">
        <f>Model!E136</f>
        <v>1337.3</v>
      </c>
      <c r="F56" s="49">
        <f>Model!F136</f>
        <v>1354.5</v>
      </c>
      <c r="G56" s="49">
        <f>Model!G136</f>
        <v>1371.3</v>
      </c>
      <c r="H56" s="49">
        <f>Model!H136</f>
        <v>1467.9</v>
      </c>
      <c r="I56" s="49">
        <f>Model!I136</f>
        <v>1575</v>
      </c>
      <c r="J56" s="49">
        <f>Model!J136</f>
        <v>1674.1</v>
      </c>
      <c r="K56" s="49">
        <f>Model!K136</f>
        <v>1780</v>
      </c>
      <c r="L56" s="49">
        <f>Model!L136</f>
        <v>1889.08738317757</v>
      </c>
      <c r="M56" s="49">
        <f>Model!M136</f>
        <v>2001.6829883177568</v>
      </c>
      <c r="N56" s="49">
        <f>Model!N136</f>
        <v>2114.8550649649528</v>
      </c>
      <c r="O56" s="49">
        <f>Model!O136</f>
        <v>2227.8126755776862</v>
      </c>
      <c r="P56" s="49">
        <f>Model!P136</f>
        <v>2335.6212454072493</v>
      </c>
      <c r="Q56" s="49">
        <f>Model!Q136</f>
        <v>2437.7158454853952</v>
      </c>
      <c r="R56" s="49">
        <f>Model!R136</f>
        <v>2533.5005965853939</v>
      </c>
      <c r="S56" s="49">
        <f>Model!S136</f>
        <v>2627.4491697888307</v>
      </c>
    </row>
    <row r="57" spans="2:20" x14ac:dyDescent="0.35">
      <c r="B57" s="61" t="s">
        <v>517</v>
      </c>
      <c r="C57" s="62" t="s">
        <v>167</v>
      </c>
      <c r="D57" s="63"/>
      <c r="E57" s="64">
        <f t="shared" ref="E57:S57" si="10">E55+E56</f>
        <v>2485.8000000000002</v>
      </c>
      <c r="F57" s="64">
        <f t="shared" si="10"/>
        <v>2317.1</v>
      </c>
      <c r="G57" s="64">
        <f t="shared" si="10"/>
        <v>1978.8</v>
      </c>
      <c r="H57" s="64">
        <f t="shared" si="10"/>
        <v>2666.7</v>
      </c>
      <c r="I57" s="64">
        <f t="shared" si="10"/>
        <v>2603.6</v>
      </c>
      <c r="J57" s="64">
        <f t="shared" si="10"/>
        <v>2931.1</v>
      </c>
      <c r="K57" s="64">
        <f t="shared" si="10"/>
        <v>2768.6</v>
      </c>
      <c r="L57" s="64">
        <f t="shared" si="10"/>
        <v>2827.7572444029906</v>
      </c>
      <c r="M57" s="64">
        <f t="shared" si="10"/>
        <v>3008.8356684148134</v>
      </c>
      <c r="N57" s="64">
        <f t="shared" si="10"/>
        <v>3204.4402958723813</v>
      </c>
      <c r="O57" s="64">
        <f t="shared" si="10"/>
        <v>3400.5587580472024</v>
      </c>
      <c r="P57" s="64">
        <f t="shared" si="10"/>
        <v>3588.6537468514216</v>
      </c>
      <c r="Q57" s="64">
        <f t="shared" si="10"/>
        <v>3764.0457902123239</v>
      </c>
      <c r="R57" s="64">
        <f t="shared" si="10"/>
        <v>3925.22912852645</v>
      </c>
      <c r="S57" s="64">
        <f t="shared" si="10"/>
        <v>4077.9859958559946</v>
      </c>
      <c r="T57" s="63"/>
    </row>
    <row r="58" spans="2:20" ht="8" customHeight="1" x14ac:dyDescent="0.35"/>
    <row r="59" spans="2:20" x14ac:dyDescent="0.35">
      <c r="B59" s="40" t="s">
        <v>300</v>
      </c>
      <c r="C59" s="59" t="s">
        <v>167</v>
      </c>
      <c r="E59" s="49">
        <f>Model!E142</f>
        <v>180</v>
      </c>
      <c r="F59" s="49">
        <f>Model!F142</f>
        <v>180</v>
      </c>
      <c r="G59" s="49">
        <f>Model!G142</f>
        <v>180</v>
      </c>
      <c r="H59" s="49">
        <f>Model!H142</f>
        <v>180</v>
      </c>
      <c r="I59" s="49">
        <f>Model!I142</f>
        <v>180</v>
      </c>
      <c r="J59" s="49">
        <f>Model!J142</f>
        <v>180</v>
      </c>
      <c r="K59" s="49">
        <f>Model!K142</f>
        <v>180</v>
      </c>
      <c r="L59" s="49">
        <f>Model!L142</f>
        <v>180</v>
      </c>
      <c r="M59" s="49">
        <f>Model!M142</f>
        <v>180</v>
      </c>
      <c r="N59" s="49">
        <f>Model!N142</f>
        <v>180</v>
      </c>
      <c r="O59" s="49">
        <f>Model!O142</f>
        <v>180</v>
      </c>
      <c r="P59" s="49">
        <f>Model!P142</f>
        <v>180</v>
      </c>
      <c r="Q59" s="49">
        <f>Model!Q142</f>
        <v>180</v>
      </c>
      <c r="R59" s="49">
        <f>Model!R142</f>
        <v>180</v>
      </c>
      <c r="S59" s="49">
        <f>Model!S142</f>
        <v>180</v>
      </c>
    </row>
    <row r="60" spans="2:20" ht="8" customHeight="1" x14ac:dyDescent="0.35"/>
    <row r="61" spans="2:20" x14ac:dyDescent="0.35">
      <c r="B61" s="40" t="s">
        <v>294</v>
      </c>
      <c r="C61" s="59" t="s">
        <v>167</v>
      </c>
      <c r="E61" s="49">
        <f>Model!E143</f>
        <v>1270.0999999999999</v>
      </c>
      <c r="F61" s="49">
        <f>Model!F143</f>
        <v>1449.2</v>
      </c>
      <c r="G61" s="49">
        <f>Model!G143</f>
        <v>1757.8</v>
      </c>
      <c r="H61" s="49">
        <f>Model!H143</f>
        <v>1950.4</v>
      </c>
      <c r="I61" s="49">
        <f>Model!I143</f>
        <v>2122.8000000000002</v>
      </c>
      <c r="J61" s="49">
        <f>Model!J143</f>
        <v>2341.3000000000002</v>
      </c>
      <c r="K61" s="49">
        <f>Model!K143</f>
        <v>2605.3000000000002</v>
      </c>
      <c r="L61" s="49">
        <f>Model!L143</f>
        <v>2817.0969689676699</v>
      </c>
      <c r="M61" s="49">
        <f>Model!M143</f>
        <v>2912.0808583701019</v>
      </c>
      <c r="N61" s="49">
        <f>Model!N143</f>
        <v>2995.8201287010506</v>
      </c>
      <c r="O61" s="49">
        <f>Model!O143</f>
        <v>3060.9070707480878</v>
      </c>
      <c r="P61" s="49">
        <f>Model!P143</f>
        <v>3110.7515310473659</v>
      </c>
      <c r="Q61" s="49">
        <f>Model!Q143</f>
        <v>3148.9426116289751</v>
      </c>
      <c r="R61" s="49">
        <f>Model!R143</f>
        <v>3175.2865015023285</v>
      </c>
      <c r="S61" s="49">
        <f>Model!S143</f>
        <v>3212.6819721782322</v>
      </c>
    </row>
    <row r="62" spans="2:20" x14ac:dyDescent="0.35">
      <c r="B62" s="40" t="s">
        <v>209</v>
      </c>
      <c r="C62" s="59" t="s">
        <v>167</v>
      </c>
      <c r="E62" s="49">
        <f>Model!E144</f>
        <v>31.8</v>
      </c>
      <c r="F62" s="49">
        <f>Model!F144</f>
        <v>33.6</v>
      </c>
      <c r="G62" s="49">
        <f>Model!G144</f>
        <v>36.700000000000003</v>
      </c>
      <c r="H62" s="49">
        <f>Model!H144</f>
        <v>40.799999999999997</v>
      </c>
      <c r="I62" s="49">
        <f>Model!I144</f>
        <v>45.5</v>
      </c>
      <c r="J62" s="49">
        <f>Model!J144</f>
        <v>51.3</v>
      </c>
      <c r="K62" s="49">
        <f>Model!K144</f>
        <v>58.1</v>
      </c>
      <c r="L62" s="49">
        <f>Model!L144</f>
        <v>65.472740217164699</v>
      </c>
      <c r="M62" s="49">
        <f>Model!M144</f>
        <v>73.478428772753603</v>
      </c>
      <c r="N62" s="49">
        <f>Model!N144</f>
        <v>82.193723165227809</v>
      </c>
      <c r="O62" s="49">
        <f>Model!O144</f>
        <v>91.605540425368645</v>
      </c>
      <c r="P62" s="49">
        <f>Model!P144</f>
        <v>101.68878276144221</v>
      </c>
      <c r="Q62" s="49">
        <f>Model!Q144</f>
        <v>112.38104370434374</v>
      </c>
      <c r="R62" s="49">
        <f>Model!R144</f>
        <v>123.61314784013182</v>
      </c>
      <c r="S62" s="49">
        <f>Model!S144</f>
        <v>135.32655601050246</v>
      </c>
    </row>
    <row r="63" spans="2:20" x14ac:dyDescent="0.35">
      <c r="B63" s="61" t="s">
        <v>295</v>
      </c>
      <c r="C63" s="62" t="s">
        <v>167</v>
      </c>
      <c r="D63" s="63"/>
      <c r="E63" s="64">
        <f t="shared" ref="E63:S63" si="11">E61+E62</f>
        <v>1301.8999999999999</v>
      </c>
      <c r="F63" s="64">
        <f t="shared" si="11"/>
        <v>1482.8</v>
      </c>
      <c r="G63" s="64">
        <f t="shared" si="11"/>
        <v>1794.5</v>
      </c>
      <c r="H63" s="64">
        <f t="shared" si="11"/>
        <v>1991.2</v>
      </c>
      <c r="I63" s="64">
        <f t="shared" si="11"/>
        <v>2168.3000000000002</v>
      </c>
      <c r="J63" s="64">
        <f t="shared" si="11"/>
        <v>2392.6000000000004</v>
      </c>
      <c r="K63" s="64">
        <f t="shared" si="11"/>
        <v>2663.4</v>
      </c>
      <c r="L63" s="64">
        <f t="shared" si="11"/>
        <v>2882.5697091848347</v>
      </c>
      <c r="M63" s="64">
        <f t="shared" si="11"/>
        <v>2985.5592871428553</v>
      </c>
      <c r="N63" s="64">
        <f t="shared" si="11"/>
        <v>3078.0138518662784</v>
      </c>
      <c r="O63" s="64">
        <f t="shared" si="11"/>
        <v>3152.5126111734562</v>
      </c>
      <c r="P63" s="64">
        <f t="shared" si="11"/>
        <v>3212.4403138088082</v>
      </c>
      <c r="Q63" s="64">
        <f t="shared" si="11"/>
        <v>3261.323655333319</v>
      </c>
      <c r="R63" s="64">
        <f t="shared" si="11"/>
        <v>3298.8996493424602</v>
      </c>
      <c r="S63" s="64">
        <f t="shared" si="11"/>
        <v>3348.0085281887345</v>
      </c>
      <c r="T63" s="63"/>
    </row>
    <row r="64" spans="2:20" ht="8" customHeight="1" x14ac:dyDescent="0.35"/>
    <row r="65" spans="2:22" x14ac:dyDescent="0.35">
      <c r="B65" s="103" t="s">
        <v>533</v>
      </c>
      <c r="C65" s="104" t="s">
        <v>167</v>
      </c>
      <c r="D65" s="105"/>
      <c r="E65" s="106">
        <f t="shared" ref="E65:S65" si="12">E57+E59+E63</f>
        <v>3967.7</v>
      </c>
      <c r="F65" s="106">
        <f t="shared" si="12"/>
        <v>3979.8999999999996</v>
      </c>
      <c r="G65" s="106">
        <f t="shared" si="12"/>
        <v>3953.3</v>
      </c>
      <c r="H65" s="106">
        <f t="shared" si="12"/>
        <v>4837.8999999999996</v>
      </c>
      <c r="I65" s="106">
        <f t="shared" si="12"/>
        <v>4951.8999999999996</v>
      </c>
      <c r="J65" s="106">
        <f t="shared" si="12"/>
        <v>5503.7000000000007</v>
      </c>
      <c r="K65" s="106">
        <f t="shared" si="12"/>
        <v>5612</v>
      </c>
      <c r="L65" s="106">
        <f t="shared" si="12"/>
        <v>5890.3269535878253</v>
      </c>
      <c r="M65" s="106">
        <f t="shared" si="12"/>
        <v>6174.3949555576692</v>
      </c>
      <c r="N65" s="106">
        <f t="shared" si="12"/>
        <v>6462.4541477386592</v>
      </c>
      <c r="O65" s="106">
        <f t="shared" si="12"/>
        <v>6733.0713692206591</v>
      </c>
      <c r="P65" s="106">
        <f t="shared" si="12"/>
        <v>6981.0940606602298</v>
      </c>
      <c r="Q65" s="106">
        <f t="shared" si="12"/>
        <v>7205.3694455456425</v>
      </c>
      <c r="R65" s="106">
        <f t="shared" si="12"/>
        <v>7404.1287778689102</v>
      </c>
      <c r="S65" s="106">
        <f t="shared" si="12"/>
        <v>7605.9945240447287</v>
      </c>
      <c r="T65" s="105"/>
    </row>
    <row r="66" spans="2:22" x14ac:dyDescent="0.35">
      <c r="B66" s="15" t="s">
        <v>534</v>
      </c>
      <c r="C66" s="59" t="s">
        <v>167</v>
      </c>
      <c r="E66" s="112">
        <f t="shared" ref="E66:S66" si="13">ROUND(E53-E65,1)</f>
        <v>0</v>
      </c>
      <c r="F66" s="112">
        <f t="shared" si="13"/>
        <v>0</v>
      </c>
      <c r="G66" s="112">
        <f t="shared" si="13"/>
        <v>0</v>
      </c>
      <c r="H66" s="112">
        <f t="shared" si="13"/>
        <v>0</v>
      </c>
      <c r="I66" s="112">
        <f t="shared" si="13"/>
        <v>0</v>
      </c>
      <c r="J66" s="112">
        <f t="shared" si="13"/>
        <v>0</v>
      </c>
      <c r="K66" s="112">
        <f t="shared" si="13"/>
        <v>0</v>
      </c>
      <c r="L66" s="112">
        <f t="shared" si="13"/>
        <v>0</v>
      </c>
      <c r="M66" s="112">
        <f t="shared" si="13"/>
        <v>0</v>
      </c>
      <c r="N66" s="112">
        <f t="shared" si="13"/>
        <v>0</v>
      </c>
      <c r="O66" s="112">
        <f t="shared" si="13"/>
        <v>0</v>
      </c>
      <c r="P66" s="112">
        <f t="shared" si="13"/>
        <v>0</v>
      </c>
      <c r="Q66" s="112">
        <f t="shared" si="13"/>
        <v>0</v>
      </c>
      <c r="R66" s="112">
        <f t="shared" si="13"/>
        <v>0</v>
      </c>
      <c r="S66" s="112">
        <f t="shared" si="13"/>
        <v>0</v>
      </c>
    </row>
    <row r="67" spans="2:22" ht="8" customHeight="1" x14ac:dyDescent="0.35"/>
    <row r="68" spans="2:22" ht="14.5" customHeight="1" x14ac:dyDescent="0.35">
      <c r="B68" s="9" t="s">
        <v>535</v>
      </c>
      <c r="C68" s="9"/>
      <c r="D68" s="9"/>
      <c r="E68" s="9"/>
      <c r="F68" s="9"/>
      <c r="G68" s="9"/>
      <c r="H68" s="9"/>
      <c r="I68" s="9"/>
      <c r="J68" s="9"/>
      <c r="K68" s="9"/>
      <c r="L68" s="9"/>
      <c r="M68" s="9"/>
      <c r="N68" s="9"/>
      <c r="O68" s="9"/>
      <c r="P68" s="9"/>
      <c r="Q68" s="9"/>
      <c r="R68" s="9"/>
      <c r="S68" s="9"/>
      <c r="T68" s="9"/>
    </row>
    <row r="69" spans="2:22" ht="5" customHeight="1" x14ac:dyDescent="0.35"/>
    <row r="70" spans="2:22" x14ac:dyDescent="0.35">
      <c r="B70" s="40" t="s">
        <v>536</v>
      </c>
      <c r="C70" s="59" t="s">
        <v>167</v>
      </c>
      <c r="F70" s="49">
        <f t="shared" ref="F70:S70" si="14">F38</f>
        <v>513.29999999999995</v>
      </c>
      <c r="G70" s="49">
        <f t="shared" si="14"/>
        <v>623.5</v>
      </c>
      <c r="H70" s="49">
        <f t="shared" si="14"/>
        <v>775.69999999999982</v>
      </c>
      <c r="I70" s="49">
        <f t="shared" si="14"/>
        <v>923.29999999999973</v>
      </c>
      <c r="J70" s="49">
        <f t="shared" si="14"/>
        <v>1054.4000000000001</v>
      </c>
      <c r="K70" s="49">
        <f t="shared" si="14"/>
        <v>1189.8</v>
      </c>
      <c r="L70" s="49">
        <f t="shared" si="14"/>
        <v>1251.5598149672273</v>
      </c>
      <c r="M70" s="49">
        <f t="shared" si="14"/>
        <v>1342.870240129409</v>
      </c>
      <c r="N70" s="49">
        <f t="shared" si="14"/>
        <v>1452.780307876571</v>
      </c>
      <c r="O70" s="49">
        <f t="shared" si="14"/>
        <v>1563.6614432926885</v>
      </c>
      <c r="P70" s="49">
        <f t="shared" si="14"/>
        <v>1670.7100019255631</v>
      </c>
      <c r="Q70" s="49">
        <f t="shared" si="14"/>
        <v>1768.4399263025716</v>
      </c>
      <c r="R70" s="49">
        <f t="shared" si="14"/>
        <v>1855.6380425880745</v>
      </c>
      <c r="S70" s="49">
        <f t="shared" si="14"/>
        <v>1934.0491014228853</v>
      </c>
    </row>
    <row r="71" spans="2:22" x14ac:dyDescent="0.35">
      <c r="B71" s="40" t="s">
        <v>276</v>
      </c>
      <c r="C71" s="59" t="s">
        <v>167</v>
      </c>
      <c r="F71" s="49">
        <f t="shared" ref="F71:S71" si="15">F31</f>
        <v>-61.3</v>
      </c>
      <c r="G71" s="49">
        <f t="shared" si="15"/>
        <v>-87.9</v>
      </c>
      <c r="H71" s="49">
        <f t="shared" si="15"/>
        <v>-115.4</v>
      </c>
      <c r="I71" s="49">
        <f t="shared" si="15"/>
        <v>-133.80000000000001</v>
      </c>
      <c r="J71" s="49">
        <f t="shared" si="15"/>
        <v>-164</v>
      </c>
      <c r="K71" s="49">
        <f t="shared" si="15"/>
        <v>-191.5</v>
      </c>
      <c r="L71" s="49">
        <f t="shared" si="15"/>
        <v>-207.94908304823525</v>
      </c>
      <c r="M71" s="49">
        <f t="shared" si="15"/>
        <v>-225.80147208071244</v>
      </c>
      <c r="N71" s="49">
        <f t="shared" si="15"/>
        <v>-245.81599568516981</v>
      </c>
      <c r="O71" s="49">
        <f t="shared" si="15"/>
        <v>-265.46151246551091</v>
      </c>
      <c r="P71" s="49">
        <f t="shared" si="15"/>
        <v>-284.39914281233115</v>
      </c>
      <c r="Q71" s="49">
        <f t="shared" si="15"/>
        <v>-301.57659069722257</v>
      </c>
      <c r="R71" s="49">
        <f t="shared" si="15"/>
        <v>-316.80293716325349</v>
      </c>
      <c r="S71" s="49">
        <f t="shared" si="15"/>
        <v>-330.37817916430049</v>
      </c>
    </row>
    <row r="72" spans="2:22" x14ac:dyDescent="0.35">
      <c r="B72" s="40" t="s">
        <v>273</v>
      </c>
      <c r="C72" s="59" t="s">
        <v>167</v>
      </c>
      <c r="F72" s="49">
        <f t="shared" ref="F72:S72" si="16">F27</f>
        <v>-49.2</v>
      </c>
      <c r="G72" s="49">
        <f t="shared" si="16"/>
        <v>-44.2</v>
      </c>
      <c r="H72" s="49">
        <f t="shared" si="16"/>
        <v>-55</v>
      </c>
      <c r="I72" s="49">
        <f t="shared" si="16"/>
        <v>-84</v>
      </c>
      <c r="J72" s="49">
        <f t="shared" si="16"/>
        <v>-82.1</v>
      </c>
      <c r="K72" s="49">
        <f t="shared" si="16"/>
        <v>-80.400000000000006</v>
      </c>
      <c r="L72" s="49">
        <f t="shared" si="16"/>
        <v>-54.373000000000005</v>
      </c>
      <c r="M72" s="49">
        <f t="shared" si="16"/>
        <v>-48.810832783721864</v>
      </c>
      <c r="N72" s="49">
        <f t="shared" si="16"/>
        <v>-50.357634004852841</v>
      </c>
      <c r="O72" s="49">
        <f t="shared" si="16"/>
        <v>-54.479261545371415</v>
      </c>
      <c r="P72" s="49">
        <f t="shared" si="16"/>
        <v>-58.637304123475815</v>
      </c>
      <c r="Q72" s="49">
        <f t="shared" si="16"/>
        <v>-62.651625072208617</v>
      </c>
      <c r="R72" s="49">
        <f t="shared" si="16"/>
        <v>-66.316497236346436</v>
      </c>
      <c r="S72" s="49">
        <f t="shared" si="16"/>
        <v>-69.586426597052807</v>
      </c>
    </row>
    <row r="73" spans="2:22" x14ac:dyDescent="0.35">
      <c r="B73" s="40" t="s">
        <v>537</v>
      </c>
      <c r="C73" s="59" t="s">
        <v>167</v>
      </c>
      <c r="F73" s="49">
        <f t="shared" ref="F73:S73" si="17">F23</f>
        <v>-45</v>
      </c>
      <c r="G73" s="49">
        <f t="shared" si="17"/>
        <v>0</v>
      </c>
      <c r="H73" s="49">
        <f t="shared" si="17"/>
        <v>0</v>
      </c>
      <c r="I73" s="49">
        <f t="shared" si="17"/>
        <v>-20</v>
      </c>
      <c r="J73" s="49">
        <f t="shared" si="17"/>
        <v>0</v>
      </c>
      <c r="K73" s="49">
        <f t="shared" si="17"/>
        <v>0</v>
      </c>
      <c r="L73" s="49">
        <f t="shared" si="17"/>
        <v>0</v>
      </c>
      <c r="M73" s="49">
        <f t="shared" si="17"/>
        <v>0</v>
      </c>
      <c r="N73" s="49">
        <f t="shared" si="17"/>
        <v>0</v>
      </c>
      <c r="O73" s="49">
        <f t="shared" si="17"/>
        <v>0</v>
      </c>
      <c r="P73" s="49">
        <f t="shared" si="17"/>
        <v>0</v>
      </c>
      <c r="Q73" s="49">
        <f t="shared" si="17"/>
        <v>0</v>
      </c>
      <c r="R73" s="49">
        <f t="shared" si="17"/>
        <v>0</v>
      </c>
      <c r="S73" s="49">
        <f t="shared" si="17"/>
        <v>0</v>
      </c>
    </row>
    <row r="74" spans="2:22" x14ac:dyDescent="0.35">
      <c r="B74" s="40" t="s">
        <v>538</v>
      </c>
      <c r="C74" s="59" t="s">
        <v>167</v>
      </c>
      <c r="F74" s="49">
        <f>-Model!F113</f>
        <v>-47.100000000000023</v>
      </c>
      <c r="G74" s="49">
        <f>-Model!G113</f>
        <v>25.100000000000023</v>
      </c>
      <c r="H74" s="49">
        <f>-Model!H113</f>
        <v>54.600000000000023</v>
      </c>
      <c r="I74" s="49">
        <f>-Model!I113</f>
        <v>35.299999999999955</v>
      </c>
      <c r="J74" s="49">
        <f>-Model!J113</f>
        <v>27.600000000000023</v>
      </c>
      <c r="K74" s="49">
        <f>-Model!K113</f>
        <v>30.199999999999932</v>
      </c>
      <c r="L74" s="49">
        <f>-Model!L113</f>
        <v>19.119117344634446</v>
      </c>
      <c r="M74" s="49">
        <f>-Model!M113</f>
        <v>23.230659493900362</v>
      </c>
      <c r="N74" s="49">
        <f>-Model!N113</f>
        <v>25.687053412450041</v>
      </c>
      <c r="O74" s="49">
        <f>-Model!O113</f>
        <v>25.795699576332026</v>
      </c>
      <c r="P74" s="49">
        <f>-Model!P113</f>
        <v>24.833513123956209</v>
      </c>
      <c r="Q74" s="49">
        <f>-Model!Q113</f>
        <v>23.099071953140424</v>
      </c>
      <c r="R74" s="49">
        <f>-Model!R113</f>
        <v>21.158354405321859</v>
      </c>
      <c r="S74" s="49">
        <f>-Model!S113</f>
        <v>19.847874112772388</v>
      </c>
    </row>
    <row r="75" spans="2:22" x14ac:dyDescent="0.35">
      <c r="B75" s="40" t="s">
        <v>539</v>
      </c>
      <c r="C75" s="59" t="s">
        <v>167</v>
      </c>
      <c r="F75" s="49">
        <f>Hist!F63+Hist!F32-SUM(F70:F74)</f>
        <v>0</v>
      </c>
      <c r="G75" s="49">
        <f>Hist!G63+Hist!G32-SUM(G70:G74)</f>
        <v>0</v>
      </c>
      <c r="H75" s="49">
        <f>Hist!H63+Hist!H32-SUM(H70:H74)</f>
        <v>0</v>
      </c>
      <c r="I75" s="49">
        <f>Hist!I63+Hist!I32-SUM(I70:I74)</f>
        <v>0</v>
      </c>
      <c r="J75" s="49">
        <f>Hist!J63+Hist!J32-SUM(J70:J74)</f>
        <v>0</v>
      </c>
      <c r="K75" s="49">
        <f>Hist!K63+Hist!K32-SUM(K70:K74)</f>
        <v>0</v>
      </c>
      <c r="L75" s="49">
        <f>0</f>
        <v>0</v>
      </c>
      <c r="M75" s="49">
        <f>0</f>
        <v>0</v>
      </c>
      <c r="N75" s="49">
        <f>0</f>
        <v>0</v>
      </c>
      <c r="O75" s="49">
        <f>0</f>
        <v>0</v>
      </c>
      <c r="P75" s="49">
        <f>0</f>
        <v>0</v>
      </c>
      <c r="Q75" s="49">
        <f>0</f>
        <v>0</v>
      </c>
      <c r="R75" s="49">
        <f>0</f>
        <v>0</v>
      </c>
      <c r="S75" s="49">
        <f>0</f>
        <v>0</v>
      </c>
      <c r="V75" s="15" t="s">
        <v>540</v>
      </c>
    </row>
    <row r="76" spans="2:22" x14ac:dyDescent="0.35">
      <c r="B76" s="61" t="s">
        <v>541</v>
      </c>
      <c r="C76" s="62" t="s">
        <v>167</v>
      </c>
      <c r="D76" s="63"/>
      <c r="E76" s="63"/>
      <c r="F76" s="64">
        <f t="shared" ref="F76:S76" si="18">SUM(F70:F75)</f>
        <v>310.69999999999993</v>
      </c>
      <c r="G76" s="64">
        <f t="shared" si="18"/>
        <v>516.5</v>
      </c>
      <c r="H76" s="64">
        <f t="shared" si="18"/>
        <v>659.89999999999986</v>
      </c>
      <c r="I76" s="64">
        <f t="shared" si="18"/>
        <v>720.79999999999973</v>
      </c>
      <c r="J76" s="64">
        <f t="shared" si="18"/>
        <v>835.90000000000009</v>
      </c>
      <c r="K76" s="64">
        <f t="shared" si="18"/>
        <v>948.09999999999991</v>
      </c>
      <c r="L76" s="64">
        <f t="shared" si="18"/>
        <v>1008.3568492636265</v>
      </c>
      <c r="M76" s="64">
        <f t="shared" si="18"/>
        <v>1091.488594758875</v>
      </c>
      <c r="N76" s="64">
        <f t="shared" si="18"/>
        <v>1182.2937315989984</v>
      </c>
      <c r="O76" s="64">
        <f t="shared" si="18"/>
        <v>1269.5163688581383</v>
      </c>
      <c r="P76" s="64">
        <f t="shared" si="18"/>
        <v>1352.5070681137124</v>
      </c>
      <c r="Q76" s="64">
        <f t="shared" si="18"/>
        <v>1427.3107824862809</v>
      </c>
      <c r="R76" s="64">
        <f t="shared" si="18"/>
        <v>1493.6769625937964</v>
      </c>
      <c r="S76" s="64">
        <f t="shared" si="18"/>
        <v>1553.9323697743043</v>
      </c>
      <c r="T76" s="63"/>
    </row>
    <row r="77" spans="2:22" ht="8" customHeight="1" x14ac:dyDescent="0.35"/>
    <row r="78" spans="2:22" x14ac:dyDescent="0.35">
      <c r="B78" s="40" t="s">
        <v>307</v>
      </c>
      <c r="C78" s="59" t="s">
        <v>167</v>
      </c>
      <c r="F78" s="49">
        <f>Model!F116</f>
        <v>-124.8</v>
      </c>
      <c r="G78" s="49">
        <f>Model!G116</f>
        <v>-161.4</v>
      </c>
      <c r="H78" s="49">
        <f>Model!H116</f>
        <v>-238.7</v>
      </c>
      <c r="I78" s="49">
        <f>Model!I116</f>
        <v>-253.1</v>
      </c>
      <c r="J78" s="49">
        <f>Model!J116</f>
        <v>-257.3</v>
      </c>
      <c r="K78" s="49">
        <f>Model!K116</f>
        <v>-271.7</v>
      </c>
      <c r="L78" s="49">
        <f>Model!L116</f>
        <v>-440.32239795741106</v>
      </c>
      <c r="M78" s="49">
        <f>Model!M116</f>
        <v>-462.39213602964219</v>
      </c>
      <c r="N78" s="49">
        <f>Model!N116</f>
        <v>-485.65140788537292</v>
      </c>
      <c r="O78" s="49">
        <f>Model!O116</f>
        <v>-485.99425371332063</v>
      </c>
      <c r="P78" s="49">
        <f>Model!P116</f>
        <v>-484.39695611636392</v>
      </c>
      <c r="Q78" s="49">
        <f>Model!Q116</f>
        <v>-480.26547300339496</v>
      </c>
      <c r="R78" s="49">
        <f>Model!R116</f>
        <v>-473.44113023825798</v>
      </c>
      <c r="S78" s="49">
        <f>Model!S116</f>
        <v>-490.50872570962133</v>
      </c>
    </row>
    <row r="79" spans="2:22" x14ac:dyDescent="0.35">
      <c r="B79" s="103" t="s">
        <v>542</v>
      </c>
      <c r="C79" s="104" t="s">
        <v>167</v>
      </c>
      <c r="D79" s="105"/>
      <c r="E79" s="105"/>
      <c r="F79" s="106">
        <f t="shared" ref="F79:S79" si="19">F76+F78</f>
        <v>185.89999999999992</v>
      </c>
      <c r="G79" s="106">
        <f t="shared" si="19"/>
        <v>355.1</v>
      </c>
      <c r="H79" s="106">
        <f t="shared" si="19"/>
        <v>421.19999999999987</v>
      </c>
      <c r="I79" s="106">
        <f t="shared" si="19"/>
        <v>467.6999999999997</v>
      </c>
      <c r="J79" s="106">
        <f t="shared" si="19"/>
        <v>578.60000000000014</v>
      </c>
      <c r="K79" s="106">
        <f t="shared" si="19"/>
        <v>676.39999999999986</v>
      </c>
      <c r="L79" s="106">
        <f t="shared" si="19"/>
        <v>568.03445130621549</v>
      </c>
      <c r="M79" s="106">
        <f t="shared" si="19"/>
        <v>629.09645872923284</v>
      </c>
      <c r="N79" s="106">
        <f t="shared" si="19"/>
        <v>696.6423237136255</v>
      </c>
      <c r="O79" s="106">
        <f t="shared" si="19"/>
        <v>783.52211514481769</v>
      </c>
      <c r="P79" s="106">
        <f t="shared" si="19"/>
        <v>868.11011199734844</v>
      </c>
      <c r="Q79" s="106">
        <f t="shared" si="19"/>
        <v>947.04530948288595</v>
      </c>
      <c r="R79" s="106">
        <f t="shared" si="19"/>
        <v>1020.2358323555384</v>
      </c>
      <c r="S79" s="106">
        <f t="shared" si="19"/>
        <v>1063.423644064683</v>
      </c>
      <c r="T79" s="105"/>
    </row>
    <row r="80" spans="2:22" ht="8" customHeight="1" x14ac:dyDescent="0.35"/>
    <row r="81" spans="2:22" x14ac:dyDescent="0.35">
      <c r="B81" s="40" t="s">
        <v>308</v>
      </c>
      <c r="C81" s="59" t="s">
        <v>167</v>
      </c>
      <c r="F81" s="49">
        <f>Hist!F65</f>
        <v>0</v>
      </c>
      <c r="G81" s="49">
        <f>Hist!G65</f>
        <v>0</v>
      </c>
      <c r="H81" s="49">
        <f>Hist!H65</f>
        <v>-800</v>
      </c>
      <c r="I81" s="49">
        <f>Hist!I65</f>
        <v>0</v>
      </c>
      <c r="J81" s="49">
        <f>Hist!J65</f>
        <v>-450</v>
      </c>
      <c r="K81" s="49">
        <f>Hist!K65</f>
        <v>0</v>
      </c>
      <c r="L81" s="49">
        <f>0</f>
        <v>0</v>
      </c>
      <c r="M81" s="49">
        <f>0</f>
        <v>0</v>
      </c>
      <c r="N81" s="49">
        <f>0</f>
        <v>0</v>
      </c>
      <c r="O81" s="49">
        <f>0</f>
        <v>0</v>
      </c>
      <c r="P81" s="49">
        <f>0</f>
        <v>0</v>
      </c>
      <c r="Q81" s="49">
        <f>0</f>
        <v>0</v>
      </c>
      <c r="R81" s="49">
        <f>0</f>
        <v>0</v>
      </c>
      <c r="S81" s="49">
        <f>0</f>
        <v>0</v>
      </c>
    </row>
    <row r="82" spans="2:22" x14ac:dyDescent="0.35">
      <c r="B82" s="40" t="s">
        <v>310</v>
      </c>
      <c r="C82" s="59" t="s">
        <v>167</v>
      </c>
      <c r="F82" s="49">
        <f>Model!F131</f>
        <v>0</v>
      </c>
      <c r="G82" s="49">
        <f>Model!G131</f>
        <v>0</v>
      </c>
      <c r="H82" s="49">
        <f>Model!H131</f>
        <v>-212.5</v>
      </c>
      <c r="I82" s="49">
        <f>Model!I131</f>
        <v>-297.5</v>
      </c>
      <c r="J82" s="49">
        <f>Model!J131</f>
        <v>-357</v>
      </c>
      <c r="K82" s="49">
        <f>Model!K131</f>
        <v>-408</v>
      </c>
      <c r="L82" s="49">
        <f>Model!L131</f>
        <v>-459.00000000000006</v>
      </c>
      <c r="M82" s="49">
        <f>Model!M131</f>
        <v>-474.4358329745487</v>
      </c>
      <c r="N82" s="49">
        <f>Model!N131</f>
        <v>-554.79421690231038</v>
      </c>
      <c r="O82" s="49">
        <f>Model!O131</f>
        <v>-647.11060864120952</v>
      </c>
      <c r="P82" s="49">
        <f>Model!P131</f>
        <v>-745.41592700315471</v>
      </c>
      <c r="Q82" s="49">
        <f>Model!Q131</f>
        <v>-848.50484258059009</v>
      </c>
      <c r="R82" s="49">
        <f>Model!R131</f>
        <v>-952.68045001252608</v>
      </c>
      <c r="S82" s="49">
        <f>Model!S131</f>
        <v>-1000.7804784987177</v>
      </c>
    </row>
    <row r="83" spans="2:22" x14ac:dyDescent="0.35">
      <c r="B83" s="40" t="s">
        <v>512</v>
      </c>
      <c r="C83" s="59" t="s">
        <v>167</v>
      </c>
      <c r="F83" s="49">
        <f>0</f>
        <v>0</v>
      </c>
      <c r="G83" s="49">
        <f>0</f>
        <v>0</v>
      </c>
      <c r="H83" s="49">
        <f>0</f>
        <v>0</v>
      </c>
      <c r="I83" s="49">
        <f>0</f>
        <v>0</v>
      </c>
      <c r="J83" s="49">
        <f>0</f>
        <v>0</v>
      </c>
      <c r="K83" s="49">
        <f>0</f>
        <v>0</v>
      </c>
      <c r="L83" s="49">
        <f>Model!L134</f>
        <v>-59.104312531635856</v>
      </c>
      <c r="M83" s="49">
        <f>Model!M134</f>
        <v>-223.14344462632039</v>
      </c>
      <c r="N83" s="49">
        <f>Model!N134</f>
        <v>-224.2806576216866</v>
      </c>
      <c r="O83" s="49">
        <f>Model!O134</f>
        <v>-219.57235806569633</v>
      </c>
      <c r="P83" s="49">
        <f>Model!P134</f>
        <v>-202.98060396884966</v>
      </c>
      <c r="Q83" s="49">
        <f>Model!Q134</f>
        <v>-171.83791018505212</v>
      </c>
      <c r="R83" s="49">
        <f>Model!R134</f>
        <v>-132.95396955713977</v>
      </c>
      <c r="S83" s="49">
        <f>Model!S134</f>
        <v>-121.45145969207351</v>
      </c>
      <c r="V83" s="15" t="s">
        <v>543</v>
      </c>
    </row>
    <row r="84" spans="2:22" x14ac:dyDescent="0.35">
      <c r="B84" s="40" t="s">
        <v>544</v>
      </c>
      <c r="C84" s="59" t="s">
        <v>167</v>
      </c>
      <c r="F84" s="49">
        <f t="shared" ref="F84:K84" si="20">(E55-F55)-(F79+F81+F82+F83)</f>
        <v>0</v>
      </c>
      <c r="G84" s="49">
        <f t="shared" si="20"/>
        <v>0</v>
      </c>
      <c r="H84" s="49">
        <f t="shared" si="20"/>
        <v>0</v>
      </c>
      <c r="I84" s="49">
        <f t="shared" si="20"/>
        <v>3.4106051316484809E-13</v>
      </c>
      <c r="J84" s="49">
        <f t="shared" si="20"/>
        <v>-2.2737367544323206E-13</v>
      </c>
      <c r="K84" s="49">
        <f t="shared" si="20"/>
        <v>0</v>
      </c>
      <c r="L84" s="49">
        <f>0</f>
        <v>0</v>
      </c>
      <c r="M84" s="49">
        <f>0</f>
        <v>0</v>
      </c>
      <c r="N84" s="49">
        <f>0</f>
        <v>0</v>
      </c>
      <c r="O84" s="49">
        <f>0</f>
        <v>0</v>
      </c>
      <c r="P84" s="49">
        <f>0</f>
        <v>0</v>
      </c>
      <c r="Q84" s="49">
        <f>0</f>
        <v>0</v>
      </c>
      <c r="R84" s="49">
        <f>0</f>
        <v>0</v>
      </c>
      <c r="S84" s="49">
        <f>0</f>
        <v>0</v>
      </c>
      <c r="V84" s="15" t="s">
        <v>545</v>
      </c>
    </row>
    <row r="85" spans="2:22" x14ac:dyDescent="0.35">
      <c r="B85" s="61" t="s">
        <v>546</v>
      </c>
      <c r="C85" s="62" t="s">
        <v>167</v>
      </c>
      <c r="D85" s="63"/>
      <c r="E85" s="63"/>
      <c r="F85" s="64">
        <f t="shared" ref="F85:S85" si="21">F79+F81+F82+F83+F84</f>
        <v>185.89999999999992</v>
      </c>
      <c r="G85" s="64">
        <f t="shared" si="21"/>
        <v>355.1</v>
      </c>
      <c r="H85" s="64">
        <f t="shared" si="21"/>
        <v>-591.30000000000018</v>
      </c>
      <c r="I85" s="64">
        <f t="shared" si="21"/>
        <v>170.20000000000005</v>
      </c>
      <c r="J85" s="64">
        <f t="shared" si="21"/>
        <v>-228.40000000000009</v>
      </c>
      <c r="K85" s="64">
        <f t="shared" si="21"/>
        <v>268.39999999999986</v>
      </c>
      <c r="L85" s="64">
        <f t="shared" si="21"/>
        <v>49.930138774579575</v>
      </c>
      <c r="M85" s="64">
        <f t="shared" si="21"/>
        <v>-68.482818871636255</v>
      </c>
      <c r="N85" s="64">
        <f t="shared" si="21"/>
        <v>-82.432550810371481</v>
      </c>
      <c r="O85" s="64">
        <f t="shared" si="21"/>
        <v>-83.160851562088169</v>
      </c>
      <c r="P85" s="64">
        <f t="shared" si="21"/>
        <v>-80.28641897465593</v>
      </c>
      <c r="Q85" s="64">
        <f t="shared" si="21"/>
        <v>-73.297443282756262</v>
      </c>
      <c r="R85" s="64">
        <f t="shared" si="21"/>
        <v>-65.398587214127474</v>
      </c>
      <c r="S85" s="64">
        <f t="shared" si="21"/>
        <v>-58.808294126108194</v>
      </c>
      <c r="T85" s="63"/>
    </row>
    <row r="86" spans="2:22" ht="8" customHeight="1" x14ac:dyDescent="0.35"/>
    <row r="87" spans="2:22" x14ac:dyDescent="0.35">
      <c r="B87" s="40" t="s">
        <v>547</v>
      </c>
      <c r="C87" s="59" t="s">
        <v>167</v>
      </c>
      <c r="F87" s="49">
        <f t="shared" ref="F87:S87" si="22">E55</f>
        <v>1148.5</v>
      </c>
      <c r="G87" s="49">
        <f t="shared" si="22"/>
        <v>962.6</v>
      </c>
      <c r="H87" s="49">
        <f t="shared" si="22"/>
        <v>607.5</v>
      </c>
      <c r="I87" s="49">
        <f t="shared" si="22"/>
        <v>1198.8</v>
      </c>
      <c r="J87" s="49">
        <f t="shared" si="22"/>
        <v>1028.5999999999999</v>
      </c>
      <c r="K87" s="49">
        <f t="shared" si="22"/>
        <v>1257</v>
      </c>
      <c r="L87" s="49">
        <f t="shared" si="22"/>
        <v>988.6</v>
      </c>
      <c r="M87" s="49">
        <f t="shared" si="22"/>
        <v>938.6698612254205</v>
      </c>
      <c r="N87" s="49">
        <f t="shared" si="22"/>
        <v>1007.1526800970568</v>
      </c>
      <c r="O87" s="49">
        <f t="shared" si="22"/>
        <v>1089.5852309074282</v>
      </c>
      <c r="P87" s="49">
        <f t="shared" si="22"/>
        <v>1172.7460824695163</v>
      </c>
      <c r="Q87" s="49">
        <f t="shared" si="22"/>
        <v>1253.0325014441723</v>
      </c>
      <c r="R87" s="49">
        <f t="shared" si="22"/>
        <v>1326.3299447269287</v>
      </c>
      <c r="S87" s="49">
        <f t="shared" si="22"/>
        <v>1391.728531941056</v>
      </c>
    </row>
    <row r="88" spans="2:22" x14ac:dyDescent="0.35">
      <c r="B88" s="103" t="s">
        <v>548</v>
      </c>
      <c r="C88" s="104" t="s">
        <v>167</v>
      </c>
      <c r="D88" s="105"/>
      <c r="E88" s="105"/>
      <c r="F88" s="106">
        <f t="shared" ref="F88:S88" si="23">F87-F85</f>
        <v>962.60000000000014</v>
      </c>
      <c r="G88" s="106">
        <f t="shared" si="23"/>
        <v>607.5</v>
      </c>
      <c r="H88" s="106">
        <f t="shared" si="23"/>
        <v>1198.8000000000002</v>
      </c>
      <c r="I88" s="106">
        <f t="shared" si="23"/>
        <v>1028.5999999999999</v>
      </c>
      <c r="J88" s="106">
        <f t="shared" si="23"/>
        <v>1257</v>
      </c>
      <c r="K88" s="106">
        <f t="shared" si="23"/>
        <v>988.60000000000014</v>
      </c>
      <c r="L88" s="106">
        <f t="shared" si="23"/>
        <v>938.66986122542039</v>
      </c>
      <c r="M88" s="106">
        <f t="shared" si="23"/>
        <v>1007.1526800970568</v>
      </c>
      <c r="N88" s="106">
        <f t="shared" si="23"/>
        <v>1089.5852309074282</v>
      </c>
      <c r="O88" s="106">
        <f t="shared" si="23"/>
        <v>1172.7460824695163</v>
      </c>
      <c r="P88" s="106">
        <f t="shared" si="23"/>
        <v>1253.0325014441723</v>
      </c>
      <c r="Q88" s="106">
        <f t="shared" si="23"/>
        <v>1326.3299447269287</v>
      </c>
      <c r="R88" s="106">
        <f t="shared" si="23"/>
        <v>1391.7285319410562</v>
      </c>
      <c r="S88" s="106">
        <f t="shared" si="23"/>
        <v>1450.5368260671642</v>
      </c>
      <c r="T88" s="105"/>
    </row>
    <row r="89" spans="2:22" x14ac:dyDescent="0.35">
      <c r="B89" s="15" t="s">
        <v>549</v>
      </c>
      <c r="C89" s="59" t="s">
        <v>167</v>
      </c>
      <c r="F89" s="112">
        <f t="shared" ref="F89:S89" si="24">ROUND(F88-F55,1)</f>
        <v>0</v>
      </c>
      <c r="G89" s="112">
        <f t="shared" si="24"/>
        <v>0</v>
      </c>
      <c r="H89" s="112">
        <f t="shared" si="24"/>
        <v>0</v>
      </c>
      <c r="I89" s="112">
        <f t="shared" si="24"/>
        <v>0</v>
      </c>
      <c r="J89" s="112">
        <f t="shared" si="24"/>
        <v>0</v>
      </c>
      <c r="K89" s="112">
        <f t="shared" si="24"/>
        <v>0</v>
      </c>
      <c r="L89" s="112">
        <f t="shared" si="24"/>
        <v>0</v>
      </c>
      <c r="M89" s="112">
        <f t="shared" si="24"/>
        <v>0</v>
      </c>
      <c r="N89" s="112">
        <f t="shared" si="24"/>
        <v>0</v>
      </c>
      <c r="O89" s="112">
        <f t="shared" si="24"/>
        <v>0</v>
      </c>
      <c r="P89" s="112">
        <f t="shared" si="24"/>
        <v>0</v>
      </c>
      <c r="Q89" s="112">
        <f t="shared" si="24"/>
        <v>0</v>
      </c>
      <c r="R89" s="112">
        <f t="shared" si="24"/>
        <v>0</v>
      </c>
      <c r="S89" s="112">
        <f t="shared" si="24"/>
        <v>0</v>
      </c>
    </row>
    <row r="90" spans="2:22" ht="8" customHeight="1" x14ac:dyDescent="0.35"/>
    <row r="91" spans="2:22" x14ac:dyDescent="0.35">
      <c r="B91" s="18" t="s">
        <v>550</v>
      </c>
      <c r="C91" s="85"/>
      <c r="D91" s="85"/>
      <c r="E91" s="85"/>
      <c r="F91" s="85"/>
      <c r="G91" s="85"/>
      <c r="H91" s="85"/>
      <c r="I91" s="85"/>
      <c r="J91" s="85"/>
      <c r="K91" s="85"/>
      <c r="L91" s="85"/>
      <c r="M91" s="85"/>
      <c r="N91" s="85"/>
      <c r="O91" s="85"/>
      <c r="P91" s="85"/>
      <c r="Q91" s="85"/>
      <c r="R91" s="85"/>
      <c r="S91" s="85"/>
      <c r="T91" s="85"/>
    </row>
    <row r="92" spans="2:22" x14ac:dyDescent="0.35">
      <c r="B92" s="40" t="s">
        <v>551</v>
      </c>
      <c r="C92" s="59" t="s">
        <v>167</v>
      </c>
      <c r="F92" s="49">
        <f>Model!F125</f>
        <v>267.392</v>
      </c>
      <c r="G92" s="49">
        <f>Model!G125</f>
        <v>389.56400000000008</v>
      </c>
      <c r="H92" s="49">
        <f>Model!H125</f>
        <v>464.08799999999991</v>
      </c>
      <c r="I92" s="49">
        <f>Model!I125</f>
        <v>548.77199999999971</v>
      </c>
      <c r="J92" s="49">
        <f>Model!J125</f>
        <v>642.67200000000014</v>
      </c>
      <c r="K92" s="49">
        <f>Model!K125</f>
        <v>739.14599999999984</v>
      </c>
      <c r="L92" s="49">
        <f>Model!L125</f>
        <v>610.44539130621536</v>
      </c>
      <c r="M92" s="49">
        <f>Model!M125</f>
        <v>667.16890830053592</v>
      </c>
      <c r="N92" s="49">
        <f>Model!N125</f>
        <v>735.92127823741066</v>
      </c>
      <c r="O92" s="49">
        <f>Model!O125</f>
        <v>826.01593915020749</v>
      </c>
      <c r="P92" s="49">
        <f>Model!P125</f>
        <v>913.84720921365943</v>
      </c>
      <c r="Q92" s="49">
        <f>Model!Q125</f>
        <v>995.91357703920858</v>
      </c>
      <c r="R92" s="49">
        <f>Model!R125</f>
        <v>1071.9627001998888</v>
      </c>
      <c r="S92" s="49">
        <f>Model!S125</f>
        <v>1117.7010568103844</v>
      </c>
    </row>
  </sheetData>
  <mergeCells count="2">
    <mergeCell ref="E4:K4"/>
    <mergeCell ref="L4:S4"/>
  </mergeCells>
  <printOptions horizontalCentered="1"/>
  <pageMargins left="0.4" right="0.4" top="1" bottom="1"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07061"/>
    <pageSetUpPr fitToPage="1"/>
  </sheetPr>
  <dimension ref="B1:V84"/>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20" width="9.453125" customWidth="1"/>
    <col min="21" max="21" width="1.453125" customWidth="1"/>
    <col min="22" max="22" width="58" customWidth="1"/>
  </cols>
  <sheetData>
    <row r="1" spans="2:22" ht="24" customHeight="1" x14ac:dyDescent="0.4">
      <c r="B1" s="30" t="s">
        <v>552</v>
      </c>
      <c r="T1" s="54" t="str">
        <f>Inputs!$C$6&amp;"  |  Scenario: "&amp;Inputs!$C$53</f>
        <v>Example Company ASA  |  Scenario: Base</v>
      </c>
    </row>
    <row r="2" spans="2:22" x14ac:dyDescent="0.35">
      <c r="B2" s="15" t="s">
        <v>553</v>
      </c>
    </row>
    <row r="3" spans="2:22" hidden="1" x14ac:dyDescent="0.35">
      <c r="E3" s="55">
        <f>Inputs!$C$17+0</f>
        <v>2019</v>
      </c>
      <c r="F3" s="55">
        <f>Inputs!$C$17+1</f>
        <v>2020</v>
      </c>
      <c r="G3" s="55">
        <f>Inputs!$C$17+2</f>
        <v>2021</v>
      </c>
      <c r="H3" s="55">
        <f>Inputs!$C$17+3</f>
        <v>2022</v>
      </c>
      <c r="I3" s="55">
        <f>Inputs!$C$17+4</f>
        <v>2023</v>
      </c>
      <c r="J3" s="55">
        <f>Inputs!$C$17+5</f>
        <v>2024</v>
      </c>
      <c r="K3" s="55">
        <f>Inputs!$C$17+6</f>
        <v>2025</v>
      </c>
      <c r="L3" s="55">
        <f>Inputs!$C$19+0</f>
        <v>2026</v>
      </c>
      <c r="M3" s="55">
        <f>Inputs!$C$19+1</f>
        <v>2027</v>
      </c>
      <c r="N3" s="55">
        <f>Inputs!$C$19+2</f>
        <v>2028</v>
      </c>
      <c r="O3" s="55">
        <f>Inputs!$C$19+3</f>
        <v>2029</v>
      </c>
      <c r="P3" s="55">
        <f>Inputs!$C$19+4</f>
        <v>2030</v>
      </c>
      <c r="Q3" s="55">
        <f>Inputs!$C$19+5</f>
        <v>2031</v>
      </c>
      <c r="R3" s="55">
        <f>Inputs!$C$19+6</f>
        <v>2032</v>
      </c>
      <c r="S3" s="55">
        <f>Inputs!$C$19+7</f>
        <v>2033</v>
      </c>
    </row>
    <row r="4" spans="2:22" x14ac:dyDescent="0.35">
      <c r="E4" s="254" t="s">
        <v>262</v>
      </c>
      <c r="F4" s="255"/>
      <c r="G4" s="255"/>
      <c r="H4" s="255"/>
      <c r="I4" s="255"/>
      <c r="J4" s="255"/>
      <c r="K4" s="255"/>
      <c r="L4" s="254" t="s">
        <v>355</v>
      </c>
      <c r="M4" s="255"/>
      <c r="N4" s="255"/>
      <c r="O4" s="255"/>
      <c r="P4" s="255"/>
      <c r="Q4" s="255"/>
      <c r="R4" s="255"/>
      <c r="S4" s="255"/>
    </row>
    <row r="5" spans="2:22"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c r="L5" s="75" t="str">
        <f t="shared" ref="L5:S5" si="1">L3&amp;"E"</f>
        <v>2026E</v>
      </c>
      <c r="M5" s="75" t="str">
        <f t="shared" si="1"/>
        <v>2027E</v>
      </c>
      <c r="N5" s="75" t="str">
        <f t="shared" si="1"/>
        <v>2028E</v>
      </c>
      <c r="O5" s="75" t="str">
        <f t="shared" si="1"/>
        <v>2029E</v>
      </c>
      <c r="P5" s="75" t="str">
        <f t="shared" si="1"/>
        <v>2030E</v>
      </c>
      <c r="Q5" s="75" t="str">
        <f t="shared" si="1"/>
        <v>2031E</v>
      </c>
      <c r="R5" s="75" t="str">
        <f t="shared" si="1"/>
        <v>2032E</v>
      </c>
      <c r="S5" s="75" t="str">
        <f t="shared" si="1"/>
        <v>2033E</v>
      </c>
      <c r="V5" s="9" t="s">
        <v>357</v>
      </c>
    </row>
    <row r="6" spans="2:22" ht="5" customHeight="1" x14ac:dyDescent="0.35"/>
    <row r="7" spans="2:22" ht="14.5" customHeight="1" x14ac:dyDescent="0.35">
      <c r="B7" s="9" t="s">
        <v>554</v>
      </c>
      <c r="C7" s="9"/>
      <c r="D7" s="9"/>
      <c r="E7" s="9"/>
      <c r="F7" s="9"/>
      <c r="G7" s="9"/>
      <c r="H7" s="9"/>
      <c r="I7" s="9"/>
      <c r="J7" s="9"/>
      <c r="K7" s="9"/>
      <c r="L7" s="9"/>
      <c r="M7" s="9"/>
      <c r="N7" s="9"/>
      <c r="O7" s="9"/>
      <c r="P7" s="9"/>
      <c r="Q7" s="9"/>
      <c r="R7" s="9"/>
      <c r="S7" s="9"/>
      <c r="T7" s="9"/>
    </row>
    <row r="8" spans="2:22" ht="5" customHeight="1" x14ac:dyDescent="0.35"/>
    <row r="9" spans="2:22" x14ac:dyDescent="0.35">
      <c r="B9" s="11" t="s">
        <v>455</v>
      </c>
      <c r="C9" s="59" t="s">
        <v>323</v>
      </c>
      <c r="F9" s="110">
        <f>Model!F59</f>
        <v>-8.4960422163588345E-2</v>
      </c>
      <c r="G9" s="110">
        <f>Model!G59</f>
        <v>5.7670126874279193E-2</v>
      </c>
      <c r="H9" s="110">
        <f>Model!H59</f>
        <v>0.16194111232279162</v>
      </c>
      <c r="I9" s="110">
        <f>Model!I59</f>
        <v>9.9718442045987787E-2</v>
      </c>
      <c r="J9" s="110">
        <f>Model!J59</f>
        <v>7.6381480691273707E-2</v>
      </c>
      <c r="K9" s="110">
        <f>Model!K59</f>
        <v>7.6907829534192285E-2</v>
      </c>
      <c r="L9" s="110">
        <f>Model!L59</f>
        <v>5.4012140465345304E-2</v>
      </c>
      <c r="M9" s="110">
        <f>Model!M59</f>
        <v>6.2411247599599706E-2</v>
      </c>
      <c r="N9" s="110">
        <f>Model!N59</f>
        <v>6.4956550532934587E-2</v>
      </c>
      <c r="O9" s="110">
        <f>Model!O59</f>
        <v>6.1252537710744903E-2</v>
      </c>
      <c r="P9" s="110">
        <f>Model!P59</f>
        <v>5.5564344652986541E-2</v>
      </c>
      <c r="Q9" s="110">
        <f>Model!Q59</f>
        <v>4.8962981329977229E-2</v>
      </c>
      <c r="R9" s="110">
        <f>Model!R59</f>
        <v>4.2755801061888699E-2</v>
      </c>
      <c r="S9" s="110">
        <f>Model!S59</f>
        <v>3.846312288726339E-2</v>
      </c>
    </row>
    <row r="10" spans="2:22" x14ac:dyDescent="0.35">
      <c r="B10" s="99" t="s">
        <v>462</v>
      </c>
      <c r="C10" s="59" t="s">
        <v>323</v>
      </c>
      <c r="F10" s="69">
        <f>Model!F60</f>
        <v>-6.6278498670539338E-2</v>
      </c>
      <c r="G10" s="69">
        <f>Model!G60</f>
        <v>3.5508910645896986E-2</v>
      </c>
      <c r="H10" s="69">
        <f>Model!H60</f>
        <v>0.11026524640033601</v>
      </c>
      <c r="I10" s="69">
        <f>Model!I60</f>
        <v>5.063324607084109E-2</v>
      </c>
      <c r="J10" s="69">
        <f>Model!J60</f>
        <v>3.0697769368333929E-2</v>
      </c>
      <c r="K10" s="69">
        <f>Model!K60</f>
        <v>3.2636411550758124E-2</v>
      </c>
      <c r="L10" s="69">
        <f>Model!L60</f>
        <v>2.0709942543939572E-2</v>
      </c>
      <c r="M10" s="69">
        <f>Model!M60</f>
        <v>3.1836296027758421E-2</v>
      </c>
      <c r="N10" s="69">
        <f>Model!N60</f>
        <v>3.6141468181906819E-2</v>
      </c>
      <c r="O10" s="69">
        <f>Model!O60</f>
        <v>3.4359198548484231E-2</v>
      </c>
      <c r="P10" s="69">
        <f>Model!P60</f>
        <v>2.9818872832182132E-2</v>
      </c>
      <c r="Q10" s="69">
        <f>Model!Q60</f>
        <v>2.4377911455055919E-2</v>
      </c>
      <c r="R10" s="69">
        <f>Model!R60</f>
        <v>1.9311633491582426E-2</v>
      </c>
      <c r="S10" s="69">
        <f>Model!S60</f>
        <v>1.6108730809455581E-2</v>
      </c>
    </row>
    <row r="11" spans="2:22" x14ac:dyDescent="0.35">
      <c r="B11" s="107" t="s">
        <v>463</v>
      </c>
      <c r="C11" s="59" t="s">
        <v>323</v>
      </c>
      <c r="F11" s="69">
        <f>Model!F61</f>
        <v>1.1085958290903711E-2</v>
      </c>
      <c r="G11" s="69">
        <f>Model!G61</f>
        <v>2.2097561048063735E-2</v>
      </c>
      <c r="H11" s="69">
        <f>Model!H61</f>
        <v>6.6576179396116611E-2</v>
      </c>
      <c r="I11" s="69">
        <f>Model!I61</f>
        <v>2.308493255874712E-2</v>
      </c>
      <c r="J11" s="69">
        <f>Model!J61</f>
        <v>2.376248044663918E-2</v>
      </c>
      <c r="K11" s="69">
        <f>Model!K61</f>
        <v>2.8595250662435498E-2</v>
      </c>
      <c r="L11" s="69">
        <f>Model!L61</f>
        <v>1.0698799728554659E-2</v>
      </c>
      <c r="M11" s="69">
        <f>Model!M61</f>
        <v>2.2696934188118734E-2</v>
      </c>
      <c r="N11" s="69">
        <f>Model!N61</f>
        <v>2.8135888645788719E-2</v>
      </c>
      <c r="O11" s="69">
        <f>Model!O61</f>
        <v>2.7556368273978376E-2</v>
      </c>
      <c r="P11" s="69">
        <f>Model!P61</f>
        <v>2.4045892554278712E-2</v>
      </c>
      <c r="Q11" s="69">
        <f>Model!Q61</f>
        <v>1.9632794723265616E-2</v>
      </c>
      <c r="R11" s="69">
        <f>Model!R61</f>
        <v>1.5314841842729797E-2</v>
      </c>
      <c r="S11" s="69">
        <f>Model!S61</f>
        <v>1.265133046085028E-2</v>
      </c>
    </row>
    <row r="12" spans="2:22" x14ac:dyDescent="0.35">
      <c r="B12" s="107" t="s">
        <v>465</v>
      </c>
      <c r="C12" s="59" t="s">
        <v>323</v>
      </c>
      <c r="F12" s="69">
        <f>Model!F62</f>
        <v>-7.7364456961443048E-2</v>
      </c>
      <c r="G12" s="69">
        <f>Model!G62</f>
        <v>1.3411349597833251E-2</v>
      </c>
      <c r="H12" s="69">
        <f>Model!H62</f>
        <v>4.3689067004219401E-2</v>
      </c>
      <c r="I12" s="69">
        <f>Model!I62</f>
        <v>2.7548313512093969E-2</v>
      </c>
      <c r="J12" s="69">
        <f>Model!J62</f>
        <v>6.9352889216947496E-3</v>
      </c>
      <c r="K12" s="69">
        <f>Model!K62</f>
        <v>4.0411608883226258E-3</v>
      </c>
      <c r="L12" s="69">
        <f>Model!L62</f>
        <v>1.0011142815384913E-2</v>
      </c>
      <c r="M12" s="69">
        <f>Model!M62</f>
        <v>9.1393618396396863E-3</v>
      </c>
      <c r="N12" s="69">
        <f>Model!N62</f>
        <v>8.0055795361181001E-3</v>
      </c>
      <c r="O12" s="69">
        <f>Model!O62</f>
        <v>6.8028302745058548E-3</v>
      </c>
      <c r="P12" s="69">
        <f>Model!P62</f>
        <v>5.7729802779034195E-3</v>
      </c>
      <c r="Q12" s="69">
        <f>Model!Q62</f>
        <v>4.7451167317903026E-3</v>
      </c>
      <c r="R12" s="69">
        <f>Model!R62</f>
        <v>3.9967916488526292E-3</v>
      </c>
      <c r="S12" s="69">
        <f>Model!S62</f>
        <v>3.4574003486053002E-3</v>
      </c>
    </row>
    <row r="13" spans="2:22" x14ac:dyDescent="0.35">
      <c r="B13" s="99" t="s">
        <v>466</v>
      </c>
      <c r="C13" s="59" t="s">
        <v>323</v>
      </c>
      <c r="F13" s="69">
        <f>Model!F63</f>
        <v>-1.8681923493049007E-2</v>
      </c>
      <c r="G13" s="69">
        <f>Model!G63</f>
        <v>2.2161216228382206E-2</v>
      </c>
      <c r="H13" s="69">
        <f>Model!H63</f>
        <v>5.1675865922455613E-2</v>
      </c>
      <c r="I13" s="69">
        <f>Model!I63</f>
        <v>4.9085195975146698E-2</v>
      </c>
      <c r="J13" s="69">
        <f>Model!J63</f>
        <v>4.5683711322939774E-2</v>
      </c>
      <c r="K13" s="69">
        <f>Model!K63</f>
        <v>4.4271417983434161E-2</v>
      </c>
      <c r="L13" s="69">
        <f>Model!L63</f>
        <v>3.3302197921405735E-2</v>
      </c>
      <c r="M13" s="69">
        <f>Model!M63</f>
        <v>3.0574951571841286E-2</v>
      </c>
      <c r="N13" s="69">
        <f>Model!N63</f>
        <v>2.8815082351027768E-2</v>
      </c>
      <c r="O13" s="69">
        <f>Model!O63</f>
        <v>2.6893339162260672E-2</v>
      </c>
      <c r="P13" s="69">
        <f>Model!P63</f>
        <v>2.5745471820804409E-2</v>
      </c>
      <c r="Q13" s="69">
        <f>Model!Q63</f>
        <v>2.458506987492131E-2</v>
      </c>
      <c r="R13" s="69">
        <f>Model!R63</f>
        <v>2.3444167570306273E-2</v>
      </c>
      <c r="S13" s="69">
        <f>Model!S63</f>
        <v>2.235439207780781E-2</v>
      </c>
    </row>
    <row r="14" spans="2:22" x14ac:dyDescent="0.35">
      <c r="B14" s="40" t="s">
        <v>527</v>
      </c>
      <c r="C14" s="59" t="s">
        <v>323</v>
      </c>
      <c r="F14" s="45">
        <f>IF(Model!E78&lt;=0,"n.m.",Model!F78/Model!E78-1)</f>
        <v>-0.20392418325554795</v>
      </c>
      <c r="G14" s="45">
        <f>IF(Model!F78&lt;=0,"n.m.",Model!G78/Model!F78-1)</f>
        <v>0.13663555874611166</v>
      </c>
      <c r="H14" s="45">
        <f>IF(Model!G78&lt;=0,"n.m.",Model!H78/Model!G78-1)</f>
        <v>0.18442105263157882</v>
      </c>
      <c r="I14" s="45">
        <f>IF(Model!H78&lt;=0,"n.m.",Model!I78/Model!H78-1)</f>
        <v>0.15383931745467461</v>
      </c>
      <c r="J14" s="45">
        <f>IF(Model!I78&lt;=0,"n.m.",Model!J78/Model!I78-1)</f>
        <v>0.11915581914811701</v>
      </c>
      <c r="K14" s="45">
        <f>IF(Model!J78&lt;=0,"n.m.",Model!K78/Model!J78-1)</f>
        <v>0.11052993805918776</v>
      </c>
      <c r="L14" s="45">
        <f>IF(Model!K78&lt;=0,"n.m.",Model!L78/Model!K78-1)</f>
        <v>5.4370610914084017E-2</v>
      </c>
      <c r="M14" s="45">
        <f>IF(Model!L78&lt;=0,"n.m.",Model!M78/Model!L78-1)</f>
        <v>6.9426937913504183E-2</v>
      </c>
      <c r="N14" s="45">
        <f>IF(Model!M78&lt;=0,"n.m.",Model!N78/Model!M78-1)</f>
        <v>7.5217862958855575E-2</v>
      </c>
      <c r="O14" s="45">
        <f>IF(Model!N78&lt;=0,"n.m.",Model!O78/Model!N78-1)</f>
        <v>7.0426204482000099E-2</v>
      </c>
      <c r="P14" s="45">
        <f>IF(Model!O78&lt;=0,"n.m.",Model!P78/Model!O78-1)</f>
        <v>6.3377052632964004E-2</v>
      </c>
      <c r="Q14" s="45">
        <f>IF(Model!P78&lt;=0,"n.m.",Model!Q78/Model!P78-1)</f>
        <v>5.480408510320478E-2</v>
      </c>
      <c r="R14" s="45">
        <f>IF(Model!Q78&lt;=0,"n.m.",Model!R78/Model!Q78-1)</f>
        <v>4.683320766838972E-2</v>
      </c>
      <c r="S14" s="45">
        <f>IF(Model!R78&lt;=0,"n.m.",Model!S78/Model!R78-1)</f>
        <v>4.0986525574891797E-2</v>
      </c>
    </row>
    <row r="15" spans="2:22" x14ac:dyDescent="0.35">
      <c r="B15" s="40" t="s">
        <v>555</v>
      </c>
      <c r="C15" s="59" t="s">
        <v>323</v>
      </c>
      <c r="F15" s="45">
        <f>IF(Model!E85&lt;=0,"n.m.",Model!F85/Model!E85-1)</f>
        <v>-0.39626704953338077</v>
      </c>
      <c r="G15" s="45">
        <f>IF(Model!F85&lt;=0,"n.m.",Model!G85/Model!F85-1)</f>
        <v>0.31926278240190253</v>
      </c>
      <c r="H15" s="45">
        <f>IF(Model!G85&lt;=0,"n.m.",Model!H85/Model!G85-1)</f>
        <v>0.30599369085173445</v>
      </c>
      <c r="I15" s="45">
        <f>IF(Model!H85&lt;=0,"n.m.",Model!I85/Model!H85-1)</f>
        <v>0.2291235334713595</v>
      </c>
      <c r="J15" s="45">
        <f>IF(Model!I85&lt;=0,"n.m.",Model!J85/Model!I85-1)</f>
        <v>0.16142616507580065</v>
      </c>
      <c r="K15" s="45">
        <f>IF(Model!J85&lt;=0,"n.m.",Model!K85/Model!J85-1)</f>
        <v>0.1490210297316894</v>
      </c>
      <c r="L15" s="45">
        <f>IF(Model!K85&lt;=0,"n.m.",Model!L85/Model!K85-1)</f>
        <v>5.1431686930373033E-2</v>
      </c>
      <c r="M15" s="45">
        <f>IF(Model!L85&lt;=0,"n.m.",Model!M85/Model!L85-1)</f>
        <v>7.5615596437733412E-2</v>
      </c>
      <c r="N15" s="45">
        <f>IF(Model!M85&lt;=0,"n.m.",Model!N85/Model!M85-1)</f>
        <v>8.60523899783463E-2</v>
      </c>
      <c r="O15" s="45">
        <f>IF(Model!N85&lt;=0,"n.m.",Model!O85/Model!N85-1)</f>
        <v>8.0002728067274154E-2</v>
      </c>
      <c r="P15" s="45">
        <f>IF(Model!O85&lt;=0,"n.m.",Model!P85/Model!O85-1)</f>
        <v>7.1553858183015517E-2</v>
      </c>
      <c r="Q15" s="45">
        <f>IF(Model!P85&lt;=0,"n.m.",Model!Q85/Model!P85-1)</f>
        <v>6.0748866456159289E-2</v>
      </c>
      <c r="R15" s="45">
        <f>IF(Model!Q85&lt;=0,"n.m.",Model!R85/Model!Q85-1)</f>
        <v>5.0839107606990508E-2</v>
      </c>
      <c r="S15" s="45">
        <f>IF(Model!R85&lt;=0,"n.m.",Model!S85/Model!R85-1)</f>
        <v>4.3135024448471393E-2</v>
      </c>
    </row>
    <row r="16" spans="2:22" x14ac:dyDescent="0.35">
      <c r="B16" s="40" t="s">
        <v>347</v>
      </c>
      <c r="C16" s="59" t="s">
        <v>323</v>
      </c>
      <c r="F16" s="45">
        <f>Model!F106</f>
        <v>-0.52719112988384342</v>
      </c>
      <c r="G16" s="45">
        <f>Model!G106</f>
        <v>0.72305974316024568</v>
      </c>
      <c r="H16" s="45">
        <f>Model!H106</f>
        <v>0.31270252754374583</v>
      </c>
      <c r="I16" s="45">
        <f>Model!I106</f>
        <v>0.15996050357936276</v>
      </c>
      <c r="J16" s="45">
        <f>Model!J106</f>
        <v>0.22472866567354854</v>
      </c>
      <c r="K16" s="45">
        <f>Model!K106</f>
        <v>0.167680278019114</v>
      </c>
      <c r="L16" s="45">
        <f>Model!L106</f>
        <v>8.4231102287307902E-2</v>
      </c>
      <c r="M16" s="45">
        <f>Model!M106</f>
        <v>0.10622149453479035</v>
      </c>
      <c r="N16" s="45">
        <f>Model!N106</f>
        <v>0.10798294622087812</v>
      </c>
      <c r="O16" s="45">
        <f>Model!O106</f>
        <v>9.7600207700556885E-2</v>
      </c>
      <c r="P16" s="45">
        <f>Model!P106</f>
        <v>8.6565529462349522E-2</v>
      </c>
      <c r="Q16" s="45">
        <f>Model!Q106</f>
        <v>7.2346218320781475E-2</v>
      </c>
      <c r="R16" s="45">
        <f>Model!R106</f>
        <v>5.9037145194734464E-2</v>
      </c>
      <c r="S16" s="45">
        <f>Model!S106</f>
        <v>5.0077974067841424E-2</v>
      </c>
    </row>
    <row r="17" spans="2:20" x14ac:dyDescent="0.35">
      <c r="B17" s="40" t="s">
        <v>489</v>
      </c>
      <c r="C17" s="59" t="s">
        <v>323</v>
      </c>
      <c r="F17" s="45" t="str">
        <f>IF(Model!E107&lt;=0,"n.m.",Model!F107/Model!E107-1)</f>
        <v>n.m.</v>
      </c>
      <c r="G17" s="45" t="str">
        <f>IF(Model!F107&lt;=0,"n.m.",Model!G107/Model!F107-1)</f>
        <v>n.m.</v>
      </c>
      <c r="H17" s="45">
        <f>IF(Model!G107&lt;=0,"n.m.",Model!H107/Model!G107-1)</f>
        <v>0.39999999999999991</v>
      </c>
      <c r="I17" s="45">
        <f>IF(Model!H107&lt;=0,"n.m.",Model!I107/Model!H107-1)</f>
        <v>0.19999999999999996</v>
      </c>
      <c r="J17" s="45">
        <f>IF(Model!I107&lt;=0,"n.m.",Model!J107/Model!I107-1)</f>
        <v>0.14285714285714279</v>
      </c>
      <c r="K17" s="45">
        <f>IF(Model!J107&lt;=0,"n.m.",Model!K107/Model!J107-1)</f>
        <v>0.12500000000000022</v>
      </c>
      <c r="L17" s="45">
        <f>IF(Model!K107&lt;=0,"n.m.",Model!L107/Model!K107-1)</f>
        <v>3.1791166621124578E-2</v>
      </c>
      <c r="M17" s="45">
        <f>IF(Model!L107&lt;=0,"n.m.",Model!M107/Model!L107-1)</f>
        <v>0.19131545565285113</v>
      </c>
      <c r="N17" s="45">
        <f>IF(Model!M107&lt;=0,"n.m.",Model!N107/Model!M107-1)</f>
        <v>0.18712458523665543</v>
      </c>
      <c r="O17" s="45">
        <f>IF(Model!N107&lt;=0,"n.m.",Model!O107/Model!N107-1)</f>
        <v>0.17077355488059398</v>
      </c>
      <c r="P17" s="45">
        <f>IF(Model!O107&lt;=0,"n.m.",Model!P107/Model!O107-1)</f>
        <v>0.15447587505374649</v>
      </c>
      <c r="Q17" s="45">
        <f>IF(Model!P107&lt;=0,"n.m.",Model!Q107/Model!P107-1)</f>
        <v>0.13542540763376865</v>
      </c>
      <c r="R17" s="45">
        <f>IF(Model!Q107&lt;=0,"n.m.",Model!R107/Model!Q107-1)</f>
        <v>5.9037145194734464E-2</v>
      </c>
      <c r="S17" s="45">
        <f>IF(Model!R107&lt;=0,"n.m.",Model!S107/Model!R107-1)</f>
        <v>5.0077974067841424E-2</v>
      </c>
    </row>
    <row r="18" spans="2:20" x14ac:dyDescent="0.35">
      <c r="B18" s="40" t="s">
        <v>556</v>
      </c>
      <c r="C18" s="59" t="s">
        <v>323</v>
      </c>
      <c r="G18" s="45">
        <f>IF(Model!F125&lt;=0,"n.m.",Model!G125/Model!F125-1)</f>
        <v>0.45690222594542873</v>
      </c>
      <c r="H18" s="45">
        <f>IF(Model!G125&lt;=0,"n.m.",Model!H125/Model!G125-1)</f>
        <v>0.19130104424433414</v>
      </c>
      <c r="I18" s="45">
        <f>IF(Model!H125&lt;=0,"n.m.",Model!I125/Model!H125-1)</f>
        <v>0.18247401354915405</v>
      </c>
      <c r="J18" s="45">
        <f>IF(Model!I125&lt;=0,"n.m.",Model!J125/Model!I125-1)</f>
        <v>0.17110931315737776</v>
      </c>
      <c r="K18" s="45">
        <f>IF(Model!J125&lt;=0,"n.m.",Model!K125/Model!J125-1)</f>
        <v>0.15011389946971354</v>
      </c>
      <c r="L18" s="45">
        <f>IF(Model!K125&lt;=0,"n.m.",Model!L125/Model!K125-1)</f>
        <v>-0.17412068616184695</v>
      </c>
      <c r="M18" s="45">
        <f>IF(Model!L125&lt;=0,"n.m.",Model!M125/Model!L125-1)</f>
        <v>9.2921525499512825E-2</v>
      </c>
      <c r="N18" s="45">
        <f>IF(Model!M125&lt;=0,"n.m.",Model!N125/Model!M125-1)</f>
        <v>0.10305092021150397</v>
      </c>
      <c r="O18" s="45">
        <f>IF(Model!N125&lt;=0,"n.m.",Model!O125/Model!N125-1)</f>
        <v>0.122424318438761</v>
      </c>
      <c r="P18" s="45">
        <f>IF(Model!O125&lt;=0,"n.m.",Model!P125/Model!O125-1)</f>
        <v>0.10633120488426817</v>
      </c>
      <c r="Q18" s="45">
        <f>IF(Model!P125&lt;=0,"n.m.",Model!Q125/Model!P125-1)</f>
        <v>8.9803160745180799E-2</v>
      </c>
      <c r="R18" s="45">
        <f>IF(Model!Q125&lt;=0,"n.m.",Model!R125/Model!Q125-1)</f>
        <v>7.6361167187588341E-2</v>
      </c>
      <c r="S18" s="45">
        <f>IF(Model!R125&lt;=0,"n.m.",Model!S125/Model!R125-1)</f>
        <v>4.2667862045915328E-2</v>
      </c>
    </row>
    <row r="19" spans="2:20" ht="8" customHeight="1" x14ac:dyDescent="0.35"/>
    <row r="20" spans="2:20" ht="14.5" customHeight="1" x14ac:dyDescent="0.35">
      <c r="B20" s="9" t="s">
        <v>557</v>
      </c>
      <c r="C20" s="9"/>
      <c r="D20" s="9"/>
      <c r="E20" s="9"/>
      <c r="F20" s="9"/>
      <c r="G20" s="9"/>
      <c r="H20" s="9"/>
      <c r="I20" s="9"/>
      <c r="J20" s="9"/>
      <c r="K20" s="9"/>
      <c r="L20" s="9"/>
      <c r="M20" s="9"/>
      <c r="N20" s="9"/>
      <c r="O20" s="9"/>
      <c r="P20" s="9"/>
      <c r="Q20" s="9"/>
      <c r="R20" s="9"/>
      <c r="S20" s="9"/>
      <c r="T20" s="9"/>
    </row>
    <row r="21" spans="2:20" ht="5" customHeight="1" x14ac:dyDescent="0.35"/>
    <row r="22" spans="2:20" x14ac:dyDescent="0.35">
      <c r="B22" s="40" t="s">
        <v>325</v>
      </c>
      <c r="C22" s="59" t="s">
        <v>323</v>
      </c>
      <c r="E22" s="45">
        <f>Model!E70</f>
        <v>0.63501319261213718</v>
      </c>
      <c r="F22" s="45">
        <f>Model!F70</f>
        <v>0.62200115340253748</v>
      </c>
      <c r="G22" s="45">
        <f>Model!G70</f>
        <v>0.62799890948745907</v>
      </c>
      <c r="H22" s="45">
        <f>Model!H70</f>
        <v>0.61900516189582355</v>
      </c>
      <c r="I22" s="45">
        <f>Model!I70</f>
        <v>0.62400256027309575</v>
      </c>
      <c r="J22" s="45">
        <f>Model!J70</f>
        <v>0.62999008919722499</v>
      </c>
      <c r="K22" s="45">
        <f>Model!K70</f>
        <v>0.63399595067182035</v>
      </c>
      <c r="L22" s="45">
        <f>Model!L70</f>
        <v>0.63400000000000001</v>
      </c>
      <c r="M22" s="45">
        <f>Model!M70</f>
        <v>0.63400000000000001</v>
      </c>
      <c r="N22" s="45">
        <f>Model!N70</f>
        <v>0.63400000000000012</v>
      </c>
      <c r="O22" s="45">
        <f>Model!O70</f>
        <v>0.63400000000000001</v>
      </c>
      <c r="P22" s="45">
        <f>Model!P70</f>
        <v>0.63400000000000001</v>
      </c>
      <c r="Q22" s="45">
        <f>Model!Q70</f>
        <v>0.6339999999999999</v>
      </c>
      <c r="R22" s="45">
        <f>Model!R70</f>
        <v>0.63400000000000001</v>
      </c>
      <c r="S22" s="45">
        <f>Model!S70</f>
        <v>0.63400000000000001</v>
      </c>
    </row>
    <row r="23" spans="2:20" x14ac:dyDescent="0.35">
      <c r="B23" s="40" t="s">
        <v>329</v>
      </c>
      <c r="C23" s="59" t="s">
        <v>323</v>
      </c>
      <c r="E23" s="45">
        <f>Model!E79</f>
        <v>0.27701846965699201</v>
      </c>
      <c r="F23" s="45">
        <f>Model!F79</f>
        <v>0.24100346020761243</v>
      </c>
      <c r="G23" s="45">
        <f>Model!G79</f>
        <v>0.25899672846237731</v>
      </c>
      <c r="H23" s="45">
        <f>Model!H79</f>
        <v>0.26400750821210694</v>
      </c>
      <c r="I23" s="45">
        <f>Model!I79</f>
        <v>0.27700021335609126</v>
      </c>
      <c r="J23" s="45">
        <f>Model!J79</f>
        <v>0.28800792864222002</v>
      </c>
      <c r="K23" s="45">
        <f>Model!K79</f>
        <v>0.29699981593962821</v>
      </c>
      <c r="L23" s="45">
        <f>Model!L79</f>
        <v>0.29710082583620123</v>
      </c>
      <c r="M23" s="45">
        <f>Model!M79</f>
        <v>0.29906274725860854</v>
      </c>
      <c r="N23" s="45">
        <f>Model!N79</f>
        <v>0.30194434490035182</v>
      </c>
      <c r="O23" s="45">
        <f>Model!O79</f>
        <v>0.30455440867419764</v>
      </c>
      <c r="P23" s="45">
        <f>Model!P79</f>
        <v>0.30680855326617745</v>
      </c>
      <c r="Q23" s="45">
        <f>Model!Q79</f>
        <v>0.30851700306854257</v>
      </c>
      <c r="R23" s="45">
        <f>Model!R79</f>
        <v>0.30972337302136232</v>
      </c>
      <c r="S23" s="45">
        <f>Model!S79</f>
        <v>0.31047598211712923</v>
      </c>
    </row>
    <row r="24" spans="2:20" x14ac:dyDescent="0.35">
      <c r="B24" s="40" t="s">
        <v>331</v>
      </c>
      <c r="C24" s="59" t="s">
        <v>323</v>
      </c>
      <c r="E24" s="45">
        <f>Model!E83</f>
        <v>0.19300791556728222</v>
      </c>
      <c r="F24" s="45">
        <f>Model!F83</f>
        <v>0.14801038062283736</v>
      </c>
      <c r="G24" s="45">
        <f>Model!G83</f>
        <v>0.16998364231188659</v>
      </c>
      <c r="H24" s="45">
        <f>Model!H83</f>
        <v>0.18200375410605346</v>
      </c>
      <c r="I24" s="45">
        <f>Model!I83</f>
        <v>0.19699167911243859</v>
      </c>
      <c r="J24" s="45">
        <f>Model!J83</f>
        <v>0.20899900891972251</v>
      </c>
      <c r="K24" s="45">
        <f>Model!K83</f>
        <v>0.21899503036996135</v>
      </c>
      <c r="L24" s="45">
        <f>Model!L83</f>
        <v>0.21855779077985199</v>
      </c>
      <c r="M24" s="45">
        <f>Model!M83</f>
        <v>0.22072731032049961</v>
      </c>
      <c r="N24" s="45">
        <f>Model!N83</f>
        <v>0.22422812071720077</v>
      </c>
      <c r="O24" s="45">
        <f>Model!O83</f>
        <v>0.22741238784586804</v>
      </c>
      <c r="P24" s="45">
        <f>Model!P83</f>
        <v>0.23019068826108388</v>
      </c>
      <c r="Q24" s="45">
        <f>Model!Q83</f>
        <v>0.23228268016400844</v>
      </c>
      <c r="R24" s="45">
        <f>Model!R83</f>
        <v>0.23374222286743826</v>
      </c>
      <c r="S24" s="45">
        <f>Model!S83</f>
        <v>0.23459584681200055</v>
      </c>
    </row>
    <row r="25" spans="2:20" x14ac:dyDescent="0.35">
      <c r="B25" s="11" t="s">
        <v>333</v>
      </c>
      <c r="C25" s="59" t="s">
        <v>323</v>
      </c>
      <c r="E25" s="110">
        <f>Model!E86</f>
        <v>0.14701846965699197</v>
      </c>
      <c r="F25" s="110">
        <f>Model!F86</f>
        <v>9.7001153402537482E-2</v>
      </c>
      <c r="G25" s="110">
        <f>Model!G86</f>
        <v>0.12099236641221374</v>
      </c>
      <c r="H25" s="110">
        <f>Model!H86</f>
        <v>0.13599249178789297</v>
      </c>
      <c r="I25" s="110">
        <f>Model!I86</f>
        <v>0.15199487945380835</v>
      </c>
      <c r="J25" s="110">
        <f>Model!J86</f>
        <v>0.16400396432111003</v>
      </c>
      <c r="K25" s="110">
        <f>Model!K86</f>
        <v>0.17498619547211483</v>
      </c>
      <c r="L25" s="110">
        <f>Model!L86</f>
        <v>0.17455779077985198</v>
      </c>
      <c r="M25" s="110">
        <f>Model!M86</f>
        <v>0.1767273103204996</v>
      </c>
      <c r="N25" s="110">
        <f>Model!N86</f>
        <v>0.18022812071720079</v>
      </c>
      <c r="O25" s="110">
        <f>Model!O86</f>
        <v>0.18341238784586805</v>
      </c>
      <c r="P25" s="110">
        <f>Model!P86</f>
        <v>0.1861906882610839</v>
      </c>
      <c r="Q25" s="110">
        <f>Model!Q86</f>
        <v>0.18828268016400843</v>
      </c>
      <c r="R25" s="110">
        <f>Model!R86</f>
        <v>0.18974222286743828</v>
      </c>
      <c r="S25" s="110">
        <f>Model!S86</f>
        <v>0.19059584681200054</v>
      </c>
    </row>
    <row r="26" spans="2:20" x14ac:dyDescent="0.35">
      <c r="B26" s="40" t="s">
        <v>485</v>
      </c>
      <c r="C26" s="59" t="s">
        <v>323</v>
      </c>
      <c r="E26" s="45">
        <f>Model!E101</f>
        <v>9.9947229551451106E-2</v>
      </c>
      <c r="F26" s="45">
        <f>Model!F101</f>
        <v>5.1643598615916948E-2</v>
      </c>
      <c r="G26" s="45">
        <f>Model!G101</f>
        <v>8.4133042529989072E-2</v>
      </c>
      <c r="H26" s="45">
        <f>Model!H101</f>
        <v>9.5049272641952093E-2</v>
      </c>
      <c r="I26" s="45">
        <f>Model!I101</f>
        <v>0.10025602730957961</v>
      </c>
      <c r="J26" s="45">
        <f>Model!J101</f>
        <v>0.11407333994053519</v>
      </c>
      <c r="K26" s="45">
        <f>Model!K101</f>
        <v>0.12368856985091112</v>
      </c>
      <c r="L26" s="45">
        <f>Model!L101</f>
        <v>0.12746143625268788</v>
      </c>
      <c r="M26" s="45">
        <f>Model!M101</f>
        <v>0.13027344778664315</v>
      </c>
      <c r="N26" s="45">
        <f>Model!N101</f>
        <v>0.13317030330058705</v>
      </c>
      <c r="O26" s="45">
        <f>Model!O101</f>
        <v>0.13551272289892857</v>
      </c>
      <c r="P26" s="45">
        <f>Model!P101</f>
        <v>0.1375378016330335</v>
      </c>
      <c r="Q26" s="45">
        <f>Model!Q101</f>
        <v>0.13903727924095319</v>
      </c>
      <c r="R26" s="45">
        <f>Model!R101</f>
        <v>0.14006841628827571</v>
      </c>
      <c r="S26" s="45">
        <f>Model!S101</f>
        <v>0.14066022096819819</v>
      </c>
    </row>
    <row r="27" spans="2:20" x14ac:dyDescent="0.35">
      <c r="B27" s="40" t="s">
        <v>339</v>
      </c>
      <c r="C27" s="59" t="s">
        <v>323</v>
      </c>
      <c r="E27" s="45">
        <f>IF(Model!E96=0,0,-Model!E97/Model!E96)</f>
        <v>0.23002616220567532</v>
      </c>
      <c r="F27" s="45">
        <f>IF(Model!F96=0,0,-Model!F97/Model!F96)</f>
        <v>0.25309661436829067</v>
      </c>
      <c r="G27" s="45">
        <f>IF(Model!G96=0,0,-Model!G97/Model!G96)</f>
        <v>0.21996996996997001</v>
      </c>
      <c r="H27" s="45">
        <f>IF(Model!H96=0,0,-Model!H97/Model!H96)</f>
        <v>0.2199771254288983</v>
      </c>
      <c r="I27" s="45">
        <f>IF(Model!I96=0,0,-Model!I97/Model!I96)</f>
        <v>0.2199211045364893</v>
      </c>
      <c r="J27" s="45">
        <f>IF(Model!J96=0,0,-Model!J97/Model!J96)</f>
        <v>0.22004561921373944</v>
      </c>
      <c r="K27" s="45">
        <f>IF(Model!K96=0,0,-Model!K97/Model!K96)</f>
        <v>0.22003906698839479</v>
      </c>
      <c r="L27" s="45">
        <f>IF(Model!L96=0,0,-Model!L97/Model!L96)</f>
        <v>0.22</v>
      </c>
      <c r="M27" s="45">
        <f>IF(Model!M96=0,0,-Model!M97/Model!M96)</f>
        <v>0.22</v>
      </c>
      <c r="N27" s="45">
        <f>IF(Model!N96=0,0,-Model!N97/Model!N96)</f>
        <v>0.22</v>
      </c>
      <c r="O27" s="45">
        <f>IF(Model!O96=0,0,-Model!O97/Model!O96)</f>
        <v>0.22</v>
      </c>
      <c r="P27" s="45">
        <f>IF(Model!P96=0,0,-Model!P97/Model!P96)</f>
        <v>0.21999999999999997</v>
      </c>
      <c r="Q27" s="45">
        <f>IF(Model!Q96=0,0,-Model!Q97/Model!Q96)</f>
        <v>0.21999999999999997</v>
      </c>
      <c r="R27" s="45">
        <f>IF(Model!R96=0,0,-Model!R97/Model!R96)</f>
        <v>0.22</v>
      </c>
      <c r="S27" s="45">
        <f>IF(Model!S96=0,0,-Model!S97/Model!S96)</f>
        <v>0.22</v>
      </c>
    </row>
    <row r="28" spans="2:20" ht="8" customHeight="1" x14ac:dyDescent="0.35"/>
    <row r="29" spans="2:20" ht="14.5" customHeight="1" x14ac:dyDescent="0.35">
      <c r="B29" s="9" t="s">
        <v>558</v>
      </c>
      <c r="C29" s="9"/>
      <c r="D29" s="9"/>
      <c r="E29" s="9"/>
      <c r="F29" s="9"/>
      <c r="G29" s="9"/>
      <c r="H29" s="9"/>
      <c r="I29" s="9"/>
      <c r="J29" s="9"/>
      <c r="K29" s="9"/>
      <c r="L29" s="9"/>
      <c r="M29" s="9"/>
      <c r="N29" s="9"/>
      <c r="O29" s="9"/>
      <c r="P29" s="9"/>
      <c r="Q29" s="9"/>
      <c r="R29" s="9"/>
      <c r="S29" s="9"/>
      <c r="T29" s="9"/>
    </row>
    <row r="30" spans="2:20" ht="5" customHeight="1" x14ac:dyDescent="0.35"/>
    <row r="31" spans="2:20" x14ac:dyDescent="0.35">
      <c r="B31" s="40" t="s">
        <v>559</v>
      </c>
      <c r="C31" s="59" t="s">
        <v>323</v>
      </c>
      <c r="E31" s="45">
        <f>Model!E121/Model!E67</f>
        <v>0.11467440633245375</v>
      </c>
      <c r="F31" s="45">
        <f>Model!F121/Model!F67</f>
        <v>7.5660899653979236E-2</v>
      </c>
      <c r="G31" s="45">
        <f>Model!G121/Model!G67</f>
        <v>9.4374045801526724E-2</v>
      </c>
      <c r="H31" s="45">
        <f>Model!H121/Model!H67</f>
        <v>0.10607414359455651</v>
      </c>
      <c r="I31" s="45">
        <f>Model!I121/Model!I67</f>
        <v>0.11855600597397051</v>
      </c>
      <c r="J31" s="45">
        <f>Model!J121/Model!J67</f>
        <v>0.12792309217046582</v>
      </c>
      <c r="K31" s="45">
        <f>Model!K121/Model!K67</f>
        <v>0.13648923246824957</v>
      </c>
      <c r="L31" s="45">
        <f>Model!L121/Model!L67</f>
        <v>0.13615507680828456</v>
      </c>
      <c r="M31" s="45">
        <f>Model!M121/Model!M67</f>
        <v>0.13784730204998968</v>
      </c>
      <c r="N31" s="45">
        <f>Model!N121/Model!N67</f>
        <v>0.14057793415941663</v>
      </c>
      <c r="O31" s="45">
        <f>Model!O121/Model!O67</f>
        <v>0.14306166251977709</v>
      </c>
      <c r="P31" s="45">
        <f>Model!P121/Model!P67</f>
        <v>0.14522873684364543</v>
      </c>
      <c r="Q31" s="45">
        <f>Model!Q121/Model!Q67</f>
        <v>0.14686049052792657</v>
      </c>
      <c r="R31" s="45">
        <f>Model!R121/Model!R67</f>
        <v>0.14799893383660184</v>
      </c>
      <c r="S31" s="45">
        <f>Model!S121/Model!S67</f>
        <v>0.14866476051336044</v>
      </c>
    </row>
    <row r="32" spans="2:20" x14ac:dyDescent="0.35">
      <c r="B32" s="40" t="s">
        <v>560</v>
      </c>
      <c r="C32" s="59" t="s">
        <v>336</v>
      </c>
      <c r="F32" s="113">
        <f>Model!F67/AVERAGE(Model!E119,Model!F119)</f>
        <v>1.312194937379394</v>
      </c>
      <c r="G32" s="113">
        <f>Model!G67/AVERAGE(Model!F119,Model!G119)</f>
        <v>1.4006950013365411</v>
      </c>
      <c r="H32" s="113">
        <f>Model!H67/AVERAGE(Model!G119,Model!H119)</f>
        <v>1.4249414911400868</v>
      </c>
      <c r="I32" s="113">
        <f>Model!I67/AVERAGE(Model!H119,Model!I119)</f>
        <v>1.3832283197332114</v>
      </c>
      <c r="J32" s="113">
        <f>Model!J67/AVERAGE(Model!I119,Model!J119)</f>
        <v>1.3943204587853244</v>
      </c>
      <c r="K32" s="113">
        <f>Model!K67/AVERAGE(Model!J119,Model!K119)</f>
        <v>1.4127099693171772</v>
      </c>
      <c r="L32" s="113">
        <f>Model!L67/AVERAGE(Model!K119,Model!L119)</f>
        <v>1.4565111256935672</v>
      </c>
      <c r="M32" s="113">
        <f>Model!M67/AVERAGE(Model!L119,Model!M119)</f>
        <v>1.4831493561785276</v>
      </c>
      <c r="N32" s="113">
        <f>Model!N67/AVERAGE(Model!M119,Model!N119)</f>
        <v>1.5155070078291804</v>
      </c>
      <c r="O32" s="113">
        <f>Model!O67/AVERAGE(Model!N119,Model!O119)</f>
        <v>1.5481245444504066</v>
      </c>
      <c r="P32" s="113">
        <f>Model!P67/AVERAGE(Model!O119,Model!P119)</f>
        <v>1.5811243614508217</v>
      </c>
      <c r="Q32" s="113">
        <f>Model!Q67/AVERAGE(Model!P119,Model!Q119)</f>
        <v>1.6124552664511516</v>
      </c>
      <c r="R32" s="113">
        <f>Model!R67/AVERAGE(Model!Q119,Model!R119)</f>
        <v>1.6422406347494283</v>
      </c>
      <c r="S32" s="113">
        <f>Model!S67/AVERAGE(Model!R119,Model!S119)</f>
        <v>1.6690008500275388</v>
      </c>
    </row>
    <row r="33" spans="2:22" x14ac:dyDescent="0.35">
      <c r="B33" s="103" t="s">
        <v>561</v>
      </c>
      <c r="C33" s="104" t="s">
        <v>323</v>
      </c>
      <c r="D33" s="105"/>
      <c r="E33" s="105"/>
      <c r="F33" s="114">
        <f>Model!F122</f>
        <v>9.9281849483521895E-2</v>
      </c>
      <c r="G33" s="114">
        <f>Model!G122</f>
        <v>0.13218925421010427</v>
      </c>
      <c r="H33" s="114">
        <f>Model!H122</f>
        <v>0.15114944834503505</v>
      </c>
      <c r="I33" s="114">
        <f>Model!I122</f>
        <v>0.1639900249376558</v>
      </c>
      <c r="J33" s="114">
        <f>Model!J122</f>
        <v>0.17836578456436125</v>
      </c>
      <c r="K33" s="114">
        <f>Model!K122</f>
        <v>0.19281969941234592</v>
      </c>
      <c r="L33" s="114">
        <f>Model!L122</f>
        <v>0.19831138419092867</v>
      </c>
      <c r="M33" s="114">
        <f>Model!M122</f>
        <v>0.20444813728638925</v>
      </c>
      <c r="N33" s="114">
        <f>Model!N122</f>
        <v>0.213046844364745</v>
      </c>
      <c r="O33" s="114">
        <f>Model!O122</f>
        <v>0.22147727111674773</v>
      </c>
      <c r="P33" s="114">
        <f>Model!P122</f>
        <v>0.22962469380621831</v>
      </c>
      <c r="Q33" s="114">
        <f>Model!Q122</f>
        <v>0.23680597138535464</v>
      </c>
      <c r="R33" s="114">
        <f>Model!R122</f>
        <v>0.24304986304605966</v>
      </c>
      <c r="S33" s="114">
        <f>Model!S122</f>
        <v>0.24812161166593905</v>
      </c>
      <c r="T33" s="105"/>
    </row>
    <row r="34" spans="2:22" x14ac:dyDescent="0.35">
      <c r="B34" s="40" t="s">
        <v>45</v>
      </c>
      <c r="C34" s="59" t="s">
        <v>323</v>
      </c>
      <c r="F34" s="45">
        <f>WACC!$C$34</f>
        <v>8.9875829156050191E-2</v>
      </c>
      <c r="G34" s="45">
        <f>WACC!$C$34</f>
        <v>8.9875829156050191E-2</v>
      </c>
      <c r="H34" s="45">
        <f>WACC!$C$34</f>
        <v>8.9875829156050191E-2</v>
      </c>
      <c r="I34" s="45">
        <f>WACC!$C$34</f>
        <v>8.9875829156050191E-2</v>
      </c>
      <c r="J34" s="45">
        <f>WACC!$C$34</f>
        <v>8.9875829156050191E-2</v>
      </c>
      <c r="K34" s="45">
        <f>WACC!$C$34</f>
        <v>8.9875829156050191E-2</v>
      </c>
      <c r="L34" s="45">
        <f>WACC!$C$34</f>
        <v>8.9875829156050191E-2</v>
      </c>
      <c r="M34" s="45">
        <f>WACC!$C$34</f>
        <v>8.9875829156050191E-2</v>
      </c>
      <c r="N34" s="45">
        <f>WACC!$C$34</f>
        <v>8.9875829156050191E-2</v>
      </c>
      <c r="O34" s="45">
        <f>WACC!$C$34</f>
        <v>8.9875829156050191E-2</v>
      </c>
      <c r="P34" s="45">
        <f>WACC!$C$34</f>
        <v>8.9875829156050191E-2</v>
      </c>
      <c r="Q34" s="45">
        <f>WACC!$C$34</f>
        <v>8.9875829156050191E-2</v>
      </c>
      <c r="R34" s="45">
        <f>WACC!$C$34</f>
        <v>8.9875829156050191E-2</v>
      </c>
      <c r="S34" s="45">
        <f>WACC!$C$34</f>
        <v>8.9875829156050191E-2</v>
      </c>
    </row>
    <row r="35" spans="2:22" x14ac:dyDescent="0.35">
      <c r="B35" s="11" t="s">
        <v>562</v>
      </c>
      <c r="C35" s="59" t="s">
        <v>323</v>
      </c>
      <c r="F35" s="110">
        <f t="shared" ref="F35:S35" si="2">F33-F34</f>
        <v>9.4060203274717036E-3</v>
      </c>
      <c r="G35" s="110">
        <f t="shared" si="2"/>
        <v>4.2313425054054082E-2</v>
      </c>
      <c r="H35" s="110">
        <f t="shared" si="2"/>
        <v>6.1273619188984857E-2</v>
      </c>
      <c r="I35" s="110">
        <f t="shared" si="2"/>
        <v>7.4114195781605607E-2</v>
      </c>
      <c r="J35" s="110">
        <f t="shared" si="2"/>
        <v>8.8489955408311061E-2</v>
      </c>
      <c r="K35" s="110">
        <f t="shared" si="2"/>
        <v>0.10294387025629573</v>
      </c>
      <c r="L35" s="110">
        <f t="shared" si="2"/>
        <v>0.10843555503487848</v>
      </c>
      <c r="M35" s="110">
        <f t="shared" si="2"/>
        <v>0.11457230813033906</v>
      </c>
      <c r="N35" s="110">
        <f t="shared" si="2"/>
        <v>0.12317101520869481</v>
      </c>
      <c r="O35" s="110">
        <f t="shared" si="2"/>
        <v>0.13160144196069753</v>
      </c>
      <c r="P35" s="110">
        <f t="shared" si="2"/>
        <v>0.13974886465016811</v>
      </c>
      <c r="Q35" s="110">
        <f t="shared" si="2"/>
        <v>0.14693014222930445</v>
      </c>
      <c r="R35" s="110">
        <f t="shared" si="2"/>
        <v>0.15317403389000947</v>
      </c>
      <c r="S35" s="110">
        <f t="shared" si="2"/>
        <v>0.15824578250988885</v>
      </c>
      <c r="V35" s="15" t="s">
        <v>563</v>
      </c>
    </row>
    <row r="36" spans="2:22" x14ac:dyDescent="0.35">
      <c r="B36" s="40" t="s">
        <v>522</v>
      </c>
      <c r="C36" s="59" t="s">
        <v>323</v>
      </c>
      <c r="F36" s="45">
        <f>Model!F145</f>
        <v>0.13172507630640234</v>
      </c>
      <c r="G36" s="45">
        <f>Model!G145</f>
        <v>0.1924540068599937</v>
      </c>
      <c r="H36" s="45">
        <f>Model!H145</f>
        <v>0.21848875465185255</v>
      </c>
      <c r="I36" s="45">
        <f>Model!I145</f>
        <v>0.23072768339389157</v>
      </c>
      <c r="J36" s="45">
        <f>Model!J145</f>
        <v>0.25783472592459844</v>
      </c>
      <c r="K36" s="45">
        <f>Model!K145</f>
        <v>0.2717017749565358</v>
      </c>
      <c r="L36" s="45">
        <f>Model!L145</f>
        <v>0.26921720621950929</v>
      </c>
      <c r="M36" s="45">
        <f>Model!M145</f>
        <v>0.27667605750390478</v>
      </c>
      <c r="N36" s="45">
        <f>Model!N145</f>
        <v>0.29208822109345706</v>
      </c>
      <c r="O36" s="45">
        <f>Model!O145</f>
        <v>0.30768098944218197</v>
      </c>
      <c r="P36" s="45">
        <f>Model!P145</f>
        <v>0.32349196729089164</v>
      </c>
      <c r="Q36" s="45">
        <f>Model!Q145</f>
        <v>0.33820624753230311</v>
      </c>
      <c r="R36" s="45">
        <f>Model!R145</f>
        <v>0.35165655435669307</v>
      </c>
      <c r="S36" s="45">
        <f>Model!S145</f>
        <v>0.36306610267240441</v>
      </c>
    </row>
    <row r="37" spans="2:22" ht="8" customHeight="1" x14ac:dyDescent="0.35"/>
    <row r="38" spans="2:22" ht="14.5" customHeight="1" x14ac:dyDescent="0.35">
      <c r="B38" s="9" t="s">
        <v>564</v>
      </c>
      <c r="C38" s="9"/>
      <c r="D38" s="9"/>
      <c r="E38" s="9"/>
      <c r="F38" s="9"/>
      <c r="G38" s="9"/>
      <c r="H38" s="9"/>
      <c r="I38" s="9"/>
      <c r="J38" s="9"/>
      <c r="K38" s="9"/>
      <c r="L38" s="9"/>
      <c r="M38" s="9"/>
      <c r="N38" s="9"/>
      <c r="O38" s="9"/>
      <c r="P38" s="9"/>
      <c r="Q38" s="9"/>
      <c r="R38" s="9"/>
      <c r="S38" s="9"/>
      <c r="T38" s="9"/>
    </row>
    <row r="39" spans="2:22" ht="5" customHeight="1" x14ac:dyDescent="0.35"/>
    <row r="40" spans="2:22" x14ac:dyDescent="0.35">
      <c r="B40" s="40" t="s">
        <v>505</v>
      </c>
      <c r="C40" s="59" t="s">
        <v>323</v>
      </c>
      <c r="F40" s="45">
        <f>Model!F127</f>
        <v>0.52092733294369764</v>
      </c>
      <c r="G40" s="45">
        <f>Model!G127</f>
        <v>0.6248019246190859</v>
      </c>
      <c r="H40" s="45">
        <f>Model!H127</f>
        <v>0.59828284130462805</v>
      </c>
      <c r="I40" s="45">
        <f>Model!I127</f>
        <v>0.59435936315390436</v>
      </c>
      <c r="J40" s="45">
        <f>Model!J127</f>
        <v>0.60951441578148713</v>
      </c>
      <c r="K40" s="45">
        <f>Model!K127</f>
        <v>0.62123550176500242</v>
      </c>
      <c r="L40" s="45">
        <f>Model!L127</f>
        <v>0.48774767614458775</v>
      </c>
      <c r="M40" s="45">
        <f>Model!M127</f>
        <v>0.49682306477820415</v>
      </c>
      <c r="N40" s="45">
        <f>Model!N127</f>
        <v>0.50656060950678505</v>
      </c>
      <c r="O40" s="45">
        <f>Model!O127</f>
        <v>0.52825753470701431</v>
      </c>
      <c r="P40" s="45">
        <f>Model!P127</f>
        <v>0.54698134814564603</v>
      </c>
      <c r="Q40" s="45">
        <f>Model!Q127</f>
        <v>0.56315940520606211</v>
      </c>
      <c r="R40" s="45">
        <f>Model!R127</f>
        <v>0.57767876902588888</v>
      </c>
      <c r="S40" s="45">
        <f>Model!S127</f>
        <v>0.57790728063113217</v>
      </c>
    </row>
    <row r="41" spans="2:22" x14ac:dyDescent="0.35">
      <c r="B41" s="40" t="s">
        <v>504</v>
      </c>
      <c r="C41" s="59" t="s">
        <v>323</v>
      </c>
      <c r="F41" s="45">
        <f>Model!F126</f>
        <v>7.7102652825836213E-2</v>
      </c>
      <c r="G41" s="45">
        <f>Model!G126</f>
        <v>0.10620610687022902</v>
      </c>
      <c r="H41" s="45">
        <f>Model!H126</f>
        <v>0.10888972313467854</v>
      </c>
      <c r="I41" s="45">
        <f>Model!I126</f>
        <v>0.11708384894388729</v>
      </c>
      <c r="J41" s="45">
        <f>Model!J126</f>
        <v>0.12738790882061449</v>
      </c>
      <c r="K41" s="45">
        <f>Model!K126</f>
        <v>0.13604748757592489</v>
      </c>
      <c r="L41" s="45">
        <f>Model!L126</f>
        <v>0.10660105455616781</v>
      </c>
      <c r="M41" s="45">
        <f>Model!M126</f>
        <v>0.10966241879368034</v>
      </c>
      <c r="N41" s="45">
        <f>Model!N126</f>
        <v>0.11358513349906621</v>
      </c>
      <c r="O41" s="45">
        <f>Model!O126</f>
        <v>0.12013230736529362</v>
      </c>
      <c r="P41" s="45">
        <f>Model!P126</f>
        <v>0.1259100129956218</v>
      </c>
      <c r="Q41" s="45">
        <f>Model!Q126</f>
        <v>0.13081217600083295</v>
      </c>
      <c r="R41" s="45">
        <f>Model!R126</f>
        <v>0.13502791957543669</v>
      </c>
      <c r="S41" s="45">
        <f>Model!S126</f>
        <v>0.13557464787848089</v>
      </c>
    </row>
    <row r="42" spans="2:22" x14ac:dyDescent="0.35">
      <c r="B42" s="40" t="s">
        <v>565</v>
      </c>
      <c r="C42" s="59" t="s">
        <v>323</v>
      </c>
      <c r="E42" s="45">
        <f>-Model!E116/Model!E67</f>
        <v>5.2005277044854879E-2</v>
      </c>
      <c r="F42" s="45">
        <f>-Model!F116/Model!F67</f>
        <v>3.5986159169550169E-2</v>
      </c>
      <c r="G42" s="45">
        <f>-Model!G116/Model!G67</f>
        <v>4.4002181025081792E-2</v>
      </c>
      <c r="H42" s="45">
        <f>-Model!H116/Model!H67</f>
        <v>5.6006569685593616E-2</v>
      </c>
      <c r="I42" s="45">
        <f>-Model!I116/Model!I67</f>
        <v>5.400042671218263E-2</v>
      </c>
      <c r="J42" s="45">
        <f>-Model!J116/Model!J67</f>
        <v>5.1000991080277502E-2</v>
      </c>
      <c r="K42" s="45">
        <f>-Model!K116/Model!K67</f>
        <v>5.0009203018590097E-2</v>
      </c>
      <c r="L42" s="45">
        <f>-Model!L116/Model!L67</f>
        <v>7.6892761638386861E-2</v>
      </c>
      <c r="M42" s="45">
        <f>-Model!M116/Model!M67</f>
        <v>7.6003302068365142E-2</v>
      </c>
      <c r="N42" s="45">
        <f>-Model!N116/Model!N67</f>
        <v>7.4957446713307077E-2</v>
      </c>
      <c r="O42" s="45">
        <f>-Model!O116/Model!O67</f>
        <v>7.0680973934860489E-2</v>
      </c>
      <c r="P42" s="45">
        <f>-Model!P116/Model!P67</f>
        <v>6.6740289213260959E-2</v>
      </c>
      <c r="Q42" s="45">
        <f>-Model!Q116/Model!Q67</f>
        <v>6.3082352756367754E-2</v>
      </c>
      <c r="R42" s="45">
        <f>-Model!R116/Model!R67</f>
        <v>5.9636189622637753E-2</v>
      </c>
      <c r="S42" s="45">
        <f>-Model!S116/Model!S67</f>
        <v>5.9497615542369445E-2</v>
      </c>
    </row>
    <row r="43" spans="2:22" x14ac:dyDescent="0.35">
      <c r="B43" s="40" t="s">
        <v>335</v>
      </c>
      <c r="C43" s="59" t="s">
        <v>336</v>
      </c>
      <c r="E43" s="113">
        <f>IF(Model!E84=0,0,Model!E116/Model!E84)</f>
        <v>1.1308089500860583</v>
      </c>
      <c r="F43" s="113">
        <f>IF(Model!F84=0,0,Model!F116/Model!F84)</f>
        <v>0.70548332391181456</v>
      </c>
      <c r="G43" s="113">
        <f>IF(Model!G84=0,0,Model!G116/Model!G84)</f>
        <v>0.89816360601001677</v>
      </c>
      <c r="H43" s="113">
        <f>IF(Model!H84=0,0,Model!H116/Model!H84)</f>
        <v>1.2172361040285569</v>
      </c>
      <c r="I43" s="113">
        <f>IF(Model!I84=0,0,Model!I116/Model!I84)</f>
        <v>1.200094831673779</v>
      </c>
      <c r="J43" s="113">
        <f>IF(Model!J84=0,0,Model!J116/Model!J84)</f>
        <v>1.1334801762114537</v>
      </c>
      <c r="K43" s="113">
        <f>IF(Model!K84=0,0,Model!K116/Model!K84)</f>
        <v>1.1363446256796319</v>
      </c>
      <c r="L43" s="113">
        <f>IF(Model!L84=0,0,Model!L116/Model!L84)</f>
        <v>1.7475627645087923</v>
      </c>
      <c r="M43" s="113">
        <f>IF(Model!M84=0,0,Model!M116/Model!M84)</f>
        <v>1.7273477742810259</v>
      </c>
      <c r="N43" s="113">
        <f>IF(Model!N84=0,0,Model!N116/Model!N84)</f>
        <v>1.7035783343933426</v>
      </c>
      <c r="O43" s="113">
        <f>IF(Model!O84=0,0,Model!O116/Model!O84)</f>
        <v>1.6063857712468297</v>
      </c>
      <c r="P43" s="113">
        <f>IF(Model!P84=0,0,Model!P116/Model!P84)</f>
        <v>1.5168247548468401</v>
      </c>
      <c r="Q43" s="113">
        <f>IF(Model!Q84=0,0,Model!Q116/Model!Q84)</f>
        <v>1.4336898353719945</v>
      </c>
      <c r="R43" s="113">
        <f>IF(Model!R84=0,0,Model!R116/Model!R84)</f>
        <v>1.35536794596904</v>
      </c>
      <c r="S43" s="113">
        <f>IF(Model!S84=0,0,Model!S116/Model!S84)</f>
        <v>1.3522185350538509</v>
      </c>
    </row>
    <row r="44" spans="2:22" x14ac:dyDescent="0.35">
      <c r="B44" s="40" t="s">
        <v>566</v>
      </c>
      <c r="C44" s="59" t="s">
        <v>323</v>
      </c>
      <c r="F44" s="45">
        <f>Model!F123/Model!F67</f>
        <v>-1.441753171856974E-3</v>
      </c>
      <c r="G44" s="45">
        <f>Model!G123/Model!G67</f>
        <v>-1.1832061068702292E-2</v>
      </c>
      <c r="H44" s="45">
        <f>Model!H123/Model!H67</f>
        <v>-2.8155795401220152E-3</v>
      </c>
      <c r="I44" s="45">
        <f>Model!I123/Model!I67</f>
        <v>1.4721570300832161E-3</v>
      </c>
      <c r="J44" s="45">
        <f>Model!J123/Model!J67</f>
        <v>5.3518334985133567E-4</v>
      </c>
      <c r="K44" s="45">
        <f>Model!K123/Model!K67</f>
        <v>4.41744892324694E-4</v>
      </c>
      <c r="L44" s="45">
        <f>Model!L123/Model!L67</f>
        <v>2.9554022252116716E-2</v>
      </c>
      <c r="M44" s="45">
        <f>Model!M123/Model!M67</f>
        <v>2.8184883256309353E-2</v>
      </c>
      <c r="N44" s="45">
        <f>Model!N123/Model!N67</f>
        <v>2.69928006603504E-2</v>
      </c>
      <c r="O44" s="45">
        <f>Model!O123/Model!O67</f>
        <v>2.2929355154483463E-2</v>
      </c>
      <c r="P44" s="45">
        <f>Model!P123/Model!P67</f>
        <v>1.9318723848023606E-2</v>
      </c>
      <c r="Q44" s="45">
        <f>Model!Q123/Model!Q67</f>
        <v>1.604831452709362E-2</v>
      </c>
      <c r="R44" s="45">
        <f>Model!R123/Model!R67</f>
        <v>1.2971014261165155E-2</v>
      </c>
      <c r="S44" s="45">
        <f>Model!S123/Model!S67</f>
        <v>1.3090112634879546E-2</v>
      </c>
    </row>
    <row r="45" spans="2:22" x14ac:dyDescent="0.35">
      <c r="B45" s="40" t="s">
        <v>567</v>
      </c>
      <c r="C45" s="59" t="s">
        <v>323</v>
      </c>
      <c r="E45" s="45">
        <f>Model!E112/Model!E67</f>
        <v>-6.0000000000000012E-2</v>
      </c>
      <c r="F45" s="45">
        <f>Model!F112/Model!F67</f>
        <v>-5.1989619377162635E-2</v>
      </c>
      <c r="G45" s="45">
        <f>Model!G112/Model!G67</f>
        <v>-5.599781897491822E-2</v>
      </c>
      <c r="H45" s="45">
        <f>Model!H112/Model!H67</f>
        <v>-6.1004223369310197E-2</v>
      </c>
      <c r="I45" s="45">
        <f>Model!I112/Model!I67</f>
        <v>-6.3004053765735007E-2</v>
      </c>
      <c r="J45" s="45">
        <f>Model!J112/Model!J67</f>
        <v>-6.400396432111001E-2</v>
      </c>
      <c r="K45" s="45">
        <f>Model!K112/Model!K67</f>
        <v>-6.4991717283268913E-2</v>
      </c>
      <c r="L45" s="45">
        <f>Model!L112/Model!L67</f>
        <v>-6.5000000000000002E-2</v>
      </c>
      <c r="M45" s="45">
        <f>Model!M112/Model!M67</f>
        <v>-6.5000000000000002E-2</v>
      </c>
      <c r="N45" s="45">
        <f>Model!N112/Model!N67</f>
        <v>-6.5000000000000002E-2</v>
      </c>
      <c r="O45" s="45">
        <f>Model!O112/Model!O67</f>
        <v>-6.5000000000000002E-2</v>
      </c>
      <c r="P45" s="45">
        <f>Model!P112/Model!P67</f>
        <v>-6.5000000000000002E-2</v>
      </c>
      <c r="Q45" s="45">
        <f>Model!Q112/Model!Q67</f>
        <v>-6.5000000000000002E-2</v>
      </c>
      <c r="R45" s="45">
        <f>Model!R112/Model!R67</f>
        <v>-6.5000000000000002E-2</v>
      </c>
      <c r="S45" s="45">
        <f>Model!S112/Model!S67</f>
        <v>-6.5000000000000002E-2</v>
      </c>
    </row>
    <row r="46" spans="2:22" x14ac:dyDescent="0.35">
      <c r="B46" s="40" t="s">
        <v>568</v>
      </c>
      <c r="C46" s="59" t="s">
        <v>167</v>
      </c>
      <c r="F46" s="48">
        <f>Model!F56</f>
        <v>18.950819672131146</v>
      </c>
      <c r="G46" s="48">
        <f>Model!G56</f>
        <v>19.72043010752688</v>
      </c>
      <c r="H46" s="48">
        <f>Model!H56</f>
        <v>21.912596401028278</v>
      </c>
      <c r="I46" s="48">
        <f>Model!I56</f>
        <v>23.031941031941031</v>
      </c>
      <c r="J46" s="48">
        <f>Model!J56</f>
        <v>24.196642685851319</v>
      </c>
      <c r="K46" s="48">
        <f>Model!K56</f>
        <v>25.38785046728972</v>
      </c>
      <c r="L46" s="48">
        <f>Model!L56</f>
        <v>25.970285529016877</v>
      </c>
      <c r="M46" s="48">
        <f>Model!M56</f>
        <v>26.742165804803705</v>
      </c>
      <c r="N46" s="48">
        <f>Model!N56</f>
        <v>27.629117943315389</v>
      </c>
      <c r="O46" s="48">
        <f>Model!O56</f>
        <v>28.53064346168636</v>
      </c>
      <c r="P46" s="48">
        <f>Model!P56</f>
        <v>29.443972098690782</v>
      </c>
      <c r="Q46" s="48">
        <f>Model!Q56</f>
        <v>30.331910199473704</v>
      </c>
      <c r="R46" s="48">
        <f>Model!R56</f>
        <v>31.193801983360153</v>
      </c>
      <c r="S46" s="48">
        <f>Model!S56</f>
        <v>32.016211705601656</v>
      </c>
    </row>
    <row r="47" spans="2:22" ht="8" customHeight="1" x14ac:dyDescent="0.35"/>
    <row r="48" spans="2:22" ht="14.5" customHeight="1" x14ac:dyDescent="0.35">
      <c r="B48" s="9" t="s">
        <v>569</v>
      </c>
      <c r="C48" s="9"/>
      <c r="D48" s="9"/>
      <c r="E48" s="9"/>
      <c r="F48" s="9"/>
      <c r="G48" s="9"/>
      <c r="H48" s="9"/>
      <c r="I48" s="9"/>
      <c r="J48" s="9"/>
      <c r="K48" s="9"/>
      <c r="L48" s="9"/>
      <c r="M48" s="9"/>
      <c r="N48" s="9"/>
      <c r="O48" s="9"/>
      <c r="P48" s="9"/>
      <c r="Q48" s="9"/>
      <c r="R48" s="9"/>
      <c r="S48" s="9"/>
      <c r="T48" s="9"/>
    </row>
    <row r="49" spans="2:22" ht="5" customHeight="1" x14ac:dyDescent="0.35"/>
    <row r="50" spans="2:22" x14ac:dyDescent="0.35">
      <c r="B50" s="11" t="s">
        <v>346</v>
      </c>
      <c r="C50" s="59" t="s">
        <v>336</v>
      </c>
      <c r="E50" s="115">
        <f>Model!E138</f>
        <v>1.5700615174299393</v>
      </c>
      <c r="F50" s="115">
        <f>Model!F138</f>
        <v>1.8753165789986366</v>
      </c>
      <c r="G50" s="115">
        <f>Model!G138</f>
        <v>0.97433841218925421</v>
      </c>
      <c r="H50" s="115">
        <f>Model!H138</f>
        <v>1.5454428258347301</v>
      </c>
      <c r="I50" s="115">
        <f>Model!I138</f>
        <v>1.1140474385356873</v>
      </c>
      <c r="J50" s="115">
        <f>Model!J138</f>
        <v>1.1921471927162366</v>
      </c>
      <c r="K50" s="115">
        <f>Model!K138</f>
        <v>0.83089594889897467</v>
      </c>
      <c r="L50" s="115">
        <f>Model!L138</f>
        <v>0.75</v>
      </c>
      <c r="M50" s="115">
        <f>Model!M138</f>
        <v>0.75</v>
      </c>
      <c r="N50" s="115">
        <f>Model!N138</f>
        <v>0.75</v>
      </c>
      <c r="O50" s="115">
        <f>Model!O138</f>
        <v>0.74999999999999989</v>
      </c>
      <c r="P50" s="115">
        <f>Model!P138</f>
        <v>0.75</v>
      </c>
      <c r="Q50" s="115">
        <f>Model!Q138</f>
        <v>0.75</v>
      </c>
      <c r="R50" s="115">
        <f>Model!R138</f>
        <v>0.75</v>
      </c>
      <c r="S50" s="115">
        <f>Model!S138</f>
        <v>0.75</v>
      </c>
    </row>
    <row r="51" spans="2:22" x14ac:dyDescent="0.35">
      <c r="B51" s="40" t="s">
        <v>570</v>
      </c>
      <c r="C51" s="59" t="s">
        <v>336</v>
      </c>
      <c r="E51" s="94">
        <f>IF(Model!E78=0,0,Model!E137/Model!E78)</f>
        <v>2.3676540622916478</v>
      </c>
      <c r="F51" s="94">
        <f>IF(Model!F78=0,0,Model!F137/Model!F78)</f>
        <v>2.7723139507059105</v>
      </c>
      <c r="G51" s="94">
        <f>IF(Model!G78=0,0,Model!G137/Model!G78)</f>
        <v>2.0829473684210527</v>
      </c>
      <c r="H51" s="94">
        <f>IF(Model!H78=0,0,Model!H137/Model!H78)</f>
        <v>2.3699786704585852</v>
      </c>
      <c r="I51" s="94">
        <f>IF(Model!I78=0,0,Model!I137/Model!I78)</f>
        <v>2.0053916660248019</v>
      </c>
      <c r="J51" s="94">
        <f>IF(Model!J78=0,0,Model!J137/Model!J78)</f>
        <v>2.0172746042670338</v>
      </c>
      <c r="K51" s="94">
        <f>IF(Model!K78=0,0,Model!K137/Model!K78)</f>
        <v>1.7157907783837383</v>
      </c>
      <c r="L51" s="94">
        <f>IF(Model!L78=0,0,Model!L137/Model!L78)</f>
        <v>1.6620839142698713</v>
      </c>
      <c r="M51" s="94">
        <f>IF(Model!M78=0,0,Model!M137/Model!M78)</f>
        <v>1.6537055050721117</v>
      </c>
      <c r="N51" s="94">
        <f>IF(Model!N78=0,0,Model!N137/Model!N78)</f>
        <v>1.6380057306574565</v>
      </c>
      <c r="O51" s="94">
        <f>IF(Model!O78=0,0,Model!O137/Model!O78)</f>
        <v>1.6238906588149697</v>
      </c>
      <c r="P51" s="94">
        <f>IF(Model!P78=0,0,Model!P137/Model!P78)</f>
        <v>1.611575933803264</v>
      </c>
      <c r="Q51" s="94">
        <f>IF(Model!Q78=0,0,Model!Q137/Model!Q78)</f>
        <v>1.6025157664437677</v>
      </c>
      <c r="R51" s="94">
        <f>IF(Model!R78=0,0,Model!R137/Model!R78)</f>
        <v>1.5963750633011935</v>
      </c>
      <c r="S51" s="94">
        <f>IF(Model!S78=0,0,Model!S137/Model!S78)</f>
        <v>1.5932009036547865</v>
      </c>
    </row>
    <row r="52" spans="2:22" x14ac:dyDescent="0.35">
      <c r="B52" s="40" t="s">
        <v>571</v>
      </c>
      <c r="C52" s="59" t="s">
        <v>336</v>
      </c>
      <c r="E52" s="94">
        <f>IF(Model!E94&gt;=0,"n.m.",-Model!E85/Model!E94)</f>
        <v>9.2404643449419499</v>
      </c>
      <c r="F52" s="94">
        <f>IF(Model!F94&gt;=0,"n.m.",-Model!F85/Model!F94)</f>
        <v>6.8373983739837394</v>
      </c>
      <c r="G52" s="94">
        <f>IF(Model!G94&gt;=0,"n.m.",-Model!G85/Model!G94)</f>
        <v>10.040723981900452</v>
      </c>
      <c r="H52" s="94">
        <f>IF(Model!H94&gt;=0,"n.m.",-Model!H85/Model!H94)</f>
        <v>10.538181818181814</v>
      </c>
      <c r="I52" s="94">
        <f>IF(Model!I94&gt;=0,"n.m.",-Model!I85/Model!I94)</f>
        <v>8.4809523809523775</v>
      </c>
      <c r="J52" s="94">
        <f>IF(Model!J94&gt;=0,"n.m.",-Model!J85/Model!J94)</f>
        <v>10.077953714981732</v>
      </c>
      <c r="K52" s="94">
        <f>IF(Model!K94&gt;=0,"n.m.",-Model!K85/Model!K94)</f>
        <v>11.82462686567164</v>
      </c>
      <c r="L52" s="94">
        <f>IF(Model!L94&gt;=0,"n.m.",-Model!L85/Model!L94)</f>
        <v>18.384052834397689</v>
      </c>
      <c r="M52" s="94">
        <f>IF(Model!M94&gt;=0,"n.m.",-Model!M85/Model!M94)</f>
        <v>22.027511089339388</v>
      </c>
      <c r="N52" s="94">
        <f>IF(Model!N94&gt;=0,"n.m.",-Model!N85/Model!N94)</f>
        <v>23.188203576540435</v>
      </c>
      <c r="O52" s="94">
        <f>IF(Model!O94&gt;=0,"n.m.",-Model!O85/Model!O94)</f>
        <v>23.148670966743531</v>
      </c>
      <c r="P52" s="94">
        <f>IF(Model!P94&gt;=0,"n.m.",-Model!P85/Model!P94)</f>
        <v>23.046091575041171</v>
      </c>
      <c r="Q52" s="94">
        <f>IF(Model!Q94&gt;=0,"n.m.",-Model!Q85/Model!Q94)</f>
        <v>22.879762630378192</v>
      </c>
      <c r="R52" s="94">
        <f>IF(Model!R94&gt;=0,"n.m.",-Model!R85/Model!R94)</f>
        <v>22.714255287187051</v>
      </c>
      <c r="S52" s="94">
        <f>IF(Model!S94&gt;=0,"n.m.",-Model!S85/Model!S94)</f>
        <v>22.58063101727037</v>
      </c>
    </row>
    <row r="53" spans="2:22" x14ac:dyDescent="0.35">
      <c r="B53" s="40" t="s">
        <v>572</v>
      </c>
      <c r="C53" s="59" t="s">
        <v>336</v>
      </c>
      <c r="E53" s="113">
        <f>Model!E135/Model!E143</f>
        <v>0.90425950712542325</v>
      </c>
      <c r="F53" s="113">
        <f>Model!F135/Model!F143</f>
        <v>0.66422853988407393</v>
      </c>
      <c r="G53" s="113">
        <f>Model!G135/Model!G143</f>
        <v>0.34560245761747638</v>
      </c>
      <c r="H53" s="113">
        <f>Model!H135/Model!H143</f>
        <v>0.6146431501230516</v>
      </c>
      <c r="I53" s="113">
        <f>Model!I135/Model!I143</f>
        <v>0.48454870925193133</v>
      </c>
      <c r="J53" s="113">
        <f>Model!J135/Model!J143</f>
        <v>0.53688121983513426</v>
      </c>
      <c r="K53" s="113">
        <f>Model!K135/Model!K143</f>
        <v>0.3794572602003608</v>
      </c>
      <c r="L53" s="113">
        <f>Model!L135/Model!L143</f>
        <v>0.33320466833961976</v>
      </c>
      <c r="M53" s="113">
        <f>Model!M135/Model!M143</f>
        <v>0.34585326750190665</v>
      </c>
      <c r="N53" s="113">
        <f>Model!N135/Model!N143</f>
        <v>0.36370181923434053</v>
      </c>
      <c r="O53" s="113">
        <f>Model!O135/Model!O143</f>
        <v>0.38313678114471356</v>
      </c>
      <c r="P53" s="113">
        <f>Model!P135/Model!P143</f>
        <v>0.40280700304671585</v>
      </c>
      <c r="Q53" s="113">
        <f>Model!Q135/Model!Q143</f>
        <v>0.4211985127416491</v>
      </c>
      <c r="R53" s="113">
        <f>Model!R135/Model!R143</f>
        <v>0.43830014434369469</v>
      </c>
      <c r="S53" s="113">
        <f>Model!S135/Model!S143</f>
        <v>0.45150339766861042</v>
      </c>
    </row>
    <row r="54" spans="2:22" ht="8" customHeight="1" x14ac:dyDescent="0.35"/>
    <row r="55" spans="2:22" ht="14.5" customHeight="1" x14ac:dyDescent="0.35">
      <c r="B55" s="9" t="s">
        <v>573</v>
      </c>
      <c r="C55" s="9"/>
      <c r="D55" s="9"/>
      <c r="E55" s="9"/>
      <c r="F55" s="9"/>
      <c r="G55" s="9"/>
      <c r="H55" s="9"/>
      <c r="I55" s="9"/>
      <c r="J55" s="9"/>
      <c r="K55" s="9"/>
      <c r="L55" s="9"/>
      <c r="M55" s="9"/>
      <c r="N55" s="9"/>
      <c r="O55" s="9"/>
      <c r="P55" s="9"/>
      <c r="Q55" s="9"/>
      <c r="R55" s="9"/>
      <c r="S55" s="9"/>
      <c r="T55" s="9"/>
    </row>
    <row r="56" spans="2:22" ht="5" customHeight="1" x14ac:dyDescent="0.35"/>
    <row r="57" spans="2:22" x14ac:dyDescent="0.35">
      <c r="B57" s="11" t="s">
        <v>347</v>
      </c>
      <c r="C57" s="59" t="s">
        <v>165</v>
      </c>
      <c r="E57" s="108">
        <f>Model!E105</f>
        <v>4.4564705882352902</v>
      </c>
      <c r="F57" s="108">
        <f>Model!F105</f>
        <v>2.1070588235294112</v>
      </c>
      <c r="G57" s="108">
        <f>Model!G105</f>
        <v>3.6305882352941166</v>
      </c>
      <c r="H57" s="108">
        <f>Model!H105</f>
        <v>4.7658823529411745</v>
      </c>
      <c r="I57" s="108">
        <f>Model!I105</f>
        <v>5.5282352941176427</v>
      </c>
      <c r="J57" s="108">
        <f>Model!J105</f>
        <v>6.7705882352941176</v>
      </c>
      <c r="K57" s="108">
        <f>Model!K105</f>
        <v>7.9058823529411777</v>
      </c>
      <c r="L57" s="108">
        <f>Model!L105</f>
        <v>8.5718035380831878</v>
      </c>
      <c r="M57" s="108">
        <f>Model!M105</f>
        <v>9.4823133207569885</v>
      </c>
      <c r="N57" s="108">
        <f>Model!N105</f>
        <v>10.506241450121808</v>
      </c>
      <c r="O57" s="108">
        <f>Model!O105</f>
        <v>11.531652797805895</v>
      </c>
      <c r="P57" s="108">
        <f>Model!P105</f>
        <v>12.529896427823948</v>
      </c>
      <c r="Q57" s="108">
        <f>Model!Q105</f>
        <v>13.436387050328079</v>
      </c>
      <c r="R57" s="108">
        <f>Model!R105</f>
        <v>14.229632983510948</v>
      </c>
      <c r="S57" s="108">
        <f>Model!S105</f>
        <v>14.942224175054111</v>
      </c>
    </row>
    <row r="58" spans="2:22" x14ac:dyDescent="0.35">
      <c r="B58" s="40" t="s">
        <v>489</v>
      </c>
      <c r="C58" s="59" t="s">
        <v>165</v>
      </c>
      <c r="E58" s="74">
        <f>Model!E107</f>
        <v>0</v>
      </c>
      <c r="F58" s="74">
        <f>Model!F107</f>
        <v>0</v>
      </c>
      <c r="G58" s="74">
        <f>Model!G107</f>
        <v>2.5</v>
      </c>
      <c r="H58" s="74">
        <f>Model!H107</f>
        <v>3.5</v>
      </c>
      <c r="I58" s="74">
        <f>Model!I107</f>
        <v>4.2</v>
      </c>
      <c r="J58" s="74">
        <f>Model!J107</f>
        <v>4.8</v>
      </c>
      <c r="K58" s="74">
        <f>Model!K107</f>
        <v>5.4</v>
      </c>
      <c r="L58" s="74">
        <f>Model!L107</f>
        <v>5.5716722997540726</v>
      </c>
      <c r="M58" s="74">
        <f>Model!M107</f>
        <v>6.6376193245298918</v>
      </c>
      <c r="N58" s="74">
        <f>Model!N107</f>
        <v>7.8796810875913561</v>
      </c>
      <c r="O58" s="74">
        <f>Model!O107</f>
        <v>9.2253222382447166</v>
      </c>
      <c r="P58" s="74">
        <f>Model!P107</f>
        <v>10.650411963650356</v>
      </c>
      <c r="Q58" s="74">
        <f>Model!Q107</f>
        <v>12.092748345295272</v>
      </c>
      <c r="R58" s="74">
        <f>Model!R107</f>
        <v>12.806669685159854</v>
      </c>
      <c r="S58" s="74">
        <f>Model!S107</f>
        <v>13.448001757548701</v>
      </c>
    </row>
    <row r="59" spans="2:22" x14ac:dyDescent="0.35">
      <c r="B59" s="65" t="s">
        <v>348</v>
      </c>
      <c r="C59" s="59" t="s">
        <v>323</v>
      </c>
      <c r="E59" s="69">
        <f>Model!E108</f>
        <v>0</v>
      </c>
      <c r="F59" s="69">
        <f>Model!F108</f>
        <v>0</v>
      </c>
      <c r="G59" s="69">
        <f>Model!G108</f>
        <v>0.6885936487362283</v>
      </c>
      <c r="H59" s="69">
        <f>Model!H108</f>
        <v>0.73438657121698381</v>
      </c>
      <c r="I59" s="69">
        <f>Model!I108</f>
        <v>0.7597361140668234</v>
      </c>
      <c r="J59" s="69">
        <f>Model!J108</f>
        <v>0.70894874022589049</v>
      </c>
      <c r="K59" s="69">
        <f>Model!K108</f>
        <v>0.68303571428571419</v>
      </c>
      <c r="L59" s="69">
        <f>Model!L108</f>
        <v>0.65</v>
      </c>
      <c r="M59" s="69">
        <f>Model!M108</f>
        <v>0.7</v>
      </c>
      <c r="N59" s="69">
        <f>Model!N108</f>
        <v>0.75</v>
      </c>
      <c r="O59" s="69">
        <f>Model!O108</f>
        <v>0.8</v>
      </c>
      <c r="P59" s="69">
        <f>Model!P108</f>
        <v>0.85000000000000009</v>
      </c>
      <c r="Q59" s="69">
        <f>Model!Q108</f>
        <v>0.9</v>
      </c>
      <c r="R59" s="69">
        <f>Model!R108</f>
        <v>0.9</v>
      </c>
      <c r="S59" s="69">
        <f>Model!S108</f>
        <v>0.9</v>
      </c>
    </row>
    <row r="60" spans="2:22" x14ac:dyDescent="0.35">
      <c r="B60" s="40" t="s">
        <v>574</v>
      </c>
      <c r="C60" s="59" t="s">
        <v>190</v>
      </c>
      <c r="E60" s="48">
        <f>Model!E104</f>
        <v>85</v>
      </c>
      <c r="F60" s="48">
        <f>Model!F104</f>
        <v>85</v>
      </c>
      <c r="G60" s="48">
        <f>Model!G104</f>
        <v>85</v>
      </c>
      <c r="H60" s="48">
        <f>Model!H104</f>
        <v>85</v>
      </c>
      <c r="I60" s="48">
        <f>Model!I104</f>
        <v>85</v>
      </c>
      <c r="J60" s="48">
        <f>Model!J104</f>
        <v>85</v>
      </c>
      <c r="K60" s="48">
        <f>Model!K104</f>
        <v>85</v>
      </c>
      <c r="L60" s="48">
        <f>Model!L104</f>
        <v>85.151424464696134</v>
      </c>
      <c r="M60" s="48">
        <f>Model!M104</f>
        <v>83.583313500974782</v>
      </c>
      <c r="N60" s="48">
        <f>Model!N104</f>
        <v>82.123959262800184</v>
      </c>
      <c r="O60" s="48">
        <f>Model!O104</f>
        <v>80.801072065855934</v>
      </c>
      <c r="P60" s="48">
        <f>Model!P104</f>
        <v>79.668734456143127</v>
      </c>
      <c r="Q60" s="48">
        <f>Model!Q104</f>
        <v>78.781135835276842</v>
      </c>
      <c r="R60" s="48">
        <f>Model!R104</f>
        <v>78.145255800452532</v>
      </c>
      <c r="S60" s="48">
        <f>Model!S104</f>
        <v>77.60741609021504</v>
      </c>
      <c r="V60" s="15" t="s">
        <v>575</v>
      </c>
    </row>
    <row r="61" spans="2:22" x14ac:dyDescent="0.35">
      <c r="B61" s="40" t="s">
        <v>576</v>
      </c>
      <c r="C61" s="59" t="s">
        <v>165</v>
      </c>
      <c r="E61" s="74">
        <f>Model!E143/Model!E104</f>
        <v>14.94235294117647</v>
      </c>
      <c r="F61" s="74">
        <f>Model!F143/Model!F104</f>
        <v>17.049411764705884</v>
      </c>
      <c r="G61" s="74">
        <f>Model!G143/Model!G104</f>
        <v>20.68</v>
      </c>
      <c r="H61" s="74">
        <f>Model!H143/Model!H104</f>
        <v>22.945882352941176</v>
      </c>
      <c r="I61" s="74">
        <f>Model!I143/Model!I104</f>
        <v>24.974117647058826</v>
      </c>
      <c r="J61" s="74">
        <f>Model!J143/Model!J104</f>
        <v>27.544705882352943</v>
      </c>
      <c r="K61" s="74">
        <f>Model!K143/Model!K104</f>
        <v>30.650588235294119</v>
      </c>
      <c r="L61" s="74">
        <f>Model!L143/Model!L104</f>
        <v>33.083380421141882</v>
      </c>
      <c r="M61" s="74">
        <f>Model!M143/Model!M104</f>
        <v>34.840457220401298</v>
      </c>
      <c r="N61" s="74">
        <f>Model!N143/Model!N104</f>
        <v>36.47924619798588</v>
      </c>
      <c r="O61" s="74">
        <f>Model!O143/Model!O104</f>
        <v>37.882010627944794</v>
      </c>
      <c r="P61" s="74">
        <f>Model!P143/Model!P104</f>
        <v>39.046076886784299</v>
      </c>
      <c r="Q61" s="74">
        <f>Model!Q143/Model!Q104</f>
        <v>39.970769375718149</v>
      </c>
      <c r="R61" s="74">
        <f>Model!R143/Model!R104</f>
        <v>40.633132094551804</v>
      </c>
      <c r="S61" s="74">
        <f>Model!S143/Model!S104</f>
        <v>41.396584682624116</v>
      </c>
    </row>
    <row r="62" spans="2:22" x14ac:dyDescent="0.35">
      <c r="B62" s="40" t="s">
        <v>577</v>
      </c>
      <c r="C62" s="59" t="s">
        <v>165</v>
      </c>
      <c r="F62" s="74">
        <f>Output!F79/Model!F104</f>
        <v>2.1870588235294108</v>
      </c>
      <c r="G62" s="74">
        <f>Output!G79/Model!G104</f>
        <v>4.1776470588235295</v>
      </c>
      <c r="H62" s="74">
        <f>Output!H79/Model!H104</f>
        <v>4.9552941176470577</v>
      </c>
      <c r="I62" s="74">
        <f>Output!I79/Model!I104</f>
        <v>5.5023529411764667</v>
      </c>
      <c r="J62" s="74">
        <f>Output!J79/Model!J104</f>
        <v>6.8070588235294132</v>
      </c>
      <c r="K62" s="74">
        <f>Output!K79/Model!K104</f>
        <v>7.957647058823528</v>
      </c>
      <c r="L62" s="74">
        <f>Output!L79/Model!L104</f>
        <v>6.6708743262624237</v>
      </c>
      <c r="M62" s="74">
        <f>Output!M79/Model!M104</f>
        <v>7.5265795573167376</v>
      </c>
      <c r="N62" s="74">
        <f>Output!N79/Model!N104</f>
        <v>8.482814637374462</v>
      </c>
      <c r="O62" s="74">
        <f>Output!O79/Model!O104</f>
        <v>9.6969272202999672</v>
      </c>
      <c r="P62" s="74">
        <f>Output!P79/Model!P104</f>
        <v>10.89649682429981</v>
      </c>
      <c r="Q62" s="74">
        <f>Output!Q79/Model!Q104</f>
        <v>12.021219286087208</v>
      </c>
      <c r="R62" s="74">
        <f>Output!R79/Model!R104</f>
        <v>13.055633664579165</v>
      </c>
      <c r="S62" s="74">
        <f>Output!S79/Model!S104</f>
        <v>13.702603406206723</v>
      </c>
    </row>
    <row r="63" spans="2:22" ht="8" customHeight="1" x14ac:dyDescent="0.35"/>
    <row r="64" spans="2:22" ht="14.5" customHeight="1" x14ac:dyDescent="0.35">
      <c r="B64" s="9" t="s">
        <v>578</v>
      </c>
      <c r="C64" s="9"/>
      <c r="D64" s="9"/>
      <c r="E64" s="9"/>
      <c r="F64" s="9"/>
      <c r="G64" s="9"/>
      <c r="H64" s="9"/>
      <c r="I64" s="9"/>
      <c r="J64" s="9"/>
      <c r="K64" s="9"/>
      <c r="L64" s="9"/>
      <c r="M64" s="9"/>
      <c r="N64" s="9"/>
      <c r="O64" s="9"/>
      <c r="P64" s="9"/>
      <c r="Q64" s="9"/>
      <c r="R64" s="9"/>
      <c r="S64" s="9"/>
      <c r="T64" s="9"/>
    </row>
    <row r="65" spans="2:22" ht="5" customHeight="1" x14ac:dyDescent="0.35"/>
    <row r="66" spans="2:22" x14ac:dyDescent="0.35">
      <c r="B66" s="40" t="s">
        <v>195</v>
      </c>
      <c r="C66" s="59" t="s">
        <v>167</v>
      </c>
      <c r="E66" s="49">
        <f>Inputs!$C$32</f>
        <v>10370</v>
      </c>
      <c r="F66" s="49">
        <f>Inputs!$C$32</f>
        <v>10370</v>
      </c>
      <c r="G66" s="49">
        <f>Inputs!$C$32</f>
        <v>10370</v>
      </c>
      <c r="H66" s="49">
        <f>Inputs!$C$32</f>
        <v>10370</v>
      </c>
      <c r="I66" s="49">
        <f>Inputs!$C$32</f>
        <v>10370</v>
      </c>
      <c r="J66" s="49">
        <f>Inputs!$C$32</f>
        <v>10370</v>
      </c>
      <c r="K66" s="49">
        <f>Inputs!$C$32</f>
        <v>10370</v>
      </c>
      <c r="L66" s="49">
        <f>Inputs!$C$32</f>
        <v>10370</v>
      </c>
      <c r="M66" s="49">
        <f>Inputs!$C$32</f>
        <v>10370</v>
      </c>
      <c r="N66" s="49">
        <f>Inputs!$C$32</f>
        <v>10370</v>
      </c>
      <c r="O66" s="49">
        <f>Inputs!$C$32</f>
        <v>10370</v>
      </c>
      <c r="P66" s="49">
        <f>Inputs!$C$32</f>
        <v>10370</v>
      </c>
      <c r="Q66" s="49">
        <f>Inputs!$C$32</f>
        <v>10370</v>
      </c>
      <c r="R66" s="49">
        <f>Inputs!$C$32</f>
        <v>10370</v>
      </c>
      <c r="S66" s="49">
        <f>Inputs!$C$32</f>
        <v>10370</v>
      </c>
    </row>
    <row r="67" spans="2:22" x14ac:dyDescent="0.35">
      <c r="B67" s="40" t="s">
        <v>579</v>
      </c>
      <c r="C67" s="59" t="s">
        <v>167</v>
      </c>
      <c r="E67" s="49">
        <f>Inputs!$C$48</f>
        <v>11445</v>
      </c>
      <c r="F67" s="49">
        <f>Inputs!$C$48</f>
        <v>11445</v>
      </c>
      <c r="G67" s="49">
        <f>Inputs!$C$48</f>
        <v>11445</v>
      </c>
      <c r="H67" s="49">
        <f>Inputs!$C$48</f>
        <v>11445</v>
      </c>
      <c r="I67" s="49">
        <f>Inputs!$C$48</f>
        <v>11445</v>
      </c>
      <c r="J67" s="49">
        <f>Inputs!$C$48</f>
        <v>11445</v>
      </c>
      <c r="K67" s="49">
        <f>Inputs!$C$48</f>
        <v>11445</v>
      </c>
      <c r="L67" s="49">
        <f>Inputs!$C$48</f>
        <v>11445</v>
      </c>
      <c r="M67" s="49">
        <f>Inputs!$C$48</f>
        <v>11445</v>
      </c>
      <c r="N67" s="49">
        <f>Inputs!$C$48</f>
        <v>11445</v>
      </c>
      <c r="O67" s="49">
        <f>Inputs!$C$48</f>
        <v>11445</v>
      </c>
      <c r="P67" s="49">
        <f>Inputs!$C$48</f>
        <v>11445</v>
      </c>
      <c r="Q67" s="49">
        <f>Inputs!$C$48</f>
        <v>11445</v>
      </c>
      <c r="R67" s="49">
        <f>Inputs!$C$48</f>
        <v>11445</v>
      </c>
      <c r="S67" s="49">
        <f>Inputs!$C$48</f>
        <v>11445</v>
      </c>
    </row>
    <row r="68" spans="2:22" x14ac:dyDescent="0.35">
      <c r="B68" s="40" t="s">
        <v>580</v>
      </c>
      <c r="C68" s="59" t="s">
        <v>167</v>
      </c>
      <c r="E68" s="49">
        <f>Inputs!$C$49</f>
        <v>13250</v>
      </c>
      <c r="F68" s="49">
        <f>Inputs!$C$49</f>
        <v>13250</v>
      </c>
      <c r="G68" s="49">
        <f>Inputs!$C$49</f>
        <v>13250</v>
      </c>
      <c r="H68" s="49">
        <f>Inputs!$C$49</f>
        <v>13250</v>
      </c>
      <c r="I68" s="49">
        <f>Inputs!$C$49</f>
        <v>13250</v>
      </c>
      <c r="J68" s="49">
        <f>Inputs!$C$49</f>
        <v>13250</v>
      </c>
      <c r="K68" s="49">
        <f>Inputs!$C$49</f>
        <v>13250</v>
      </c>
      <c r="L68" s="49">
        <f>Inputs!$C$49</f>
        <v>13250</v>
      </c>
      <c r="M68" s="49">
        <f>Inputs!$C$49</f>
        <v>13250</v>
      </c>
      <c r="N68" s="49">
        <f>Inputs!$C$49</f>
        <v>13250</v>
      </c>
      <c r="O68" s="49">
        <f>Inputs!$C$49</f>
        <v>13250</v>
      </c>
      <c r="P68" s="49">
        <f>Inputs!$C$49</f>
        <v>13250</v>
      </c>
      <c r="Q68" s="49">
        <f>Inputs!$C$49</f>
        <v>13250</v>
      </c>
      <c r="R68" s="49">
        <f>Inputs!$C$49</f>
        <v>13250</v>
      </c>
      <c r="S68" s="49">
        <f>Inputs!$C$49</f>
        <v>13250</v>
      </c>
    </row>
    <row r="69" spans="2:22" x14ac:dyDescent="0.35">
      <c r="B69" s="40" t="s">
        <v>581</v>
      </c>
      <c r="C69" s="59" t="s">
        <v>336</v>
      </c>
      <c r="E69" s="113">
        <f>IF(Inputs!$C$67=1,E68,E67)/Model!E67</f>
        <v>3.4960422163588389</v>
      </c>
      <c r="F69" s="113">
        <f>IF(Inputs!$C$67=1,F68,F67)/Model!F67</f>
        <v>3.8206459054209918</v>
      </c>
      <c r="G69" s="113">
        <f>IF(Inputs!$C$67=1,G68,G67)/Model!G67</f>
        <v>3.6123227917121046</v>
      </c>
      <c r="H69" s="113">
        <f>IF(Inputs!$C$67=1,H68,H67)/Model!H67</f>
        <v>3.1088690755513841</v>
      </c>
      <c r="I69" s="113">
        <f>IF(Inputs!$C$67=1,I68,I67)/Model!I67</f>
        <v>2.8269682099423941</v>
      </c>
      <c r="J69" s="113">
        <f>IF(Inputs!$C$67=1,J68,J67)/Model!J67</f>
        <v>2.6263627353815657</v>
      </c>
      <c r="K69" s="113">
        <f>IF(Inputs!$C$67=1,K68,K67)/Model!K67</f>
        <v>2.4387999263758511</v>
      </c>
      <c r="L69" s="113">
        <f>IF(Inputs!$C$67=1,L68,L67)/Model!L67</f>
        <v>2.3138252708352329</v>
      </c>
      <c r="M69" s="113">
        <f>IF(Inputs!$C$67=1,M68,M67)/Model!M67</f>
        <v>2.177899825574197</v>
      </c>
      <c r="N69" s="113">
        <f>IF(Inputs!$C$67=1,N68,N67)/Model!N67</f>
        <v>2.0450597956173082</v>
      </c>
      <c r="O69" s="113">
        <f>IF(Inputs!$C$67=1,O68,O67)/Model!O67</f>
        <v>1.9270246458291249</v>
      </c>
      <c r="P69" s="113">
        <f>IF(Inputs!$C$67=1,P68,P67)/Model!P67</f>
        <v>1.8255870952733138</v>
      </c>
      <c r="Q69" s="113">
        <f>IF(Inputs!$C$67=1,Q68,Q67)/Model!Q67</f>
        <v>1.7403732331513331</v>
      </c>
      <c r="R69" s="113">
        <f>IF(Inputs!$C$67=1,R68,R67)/Model!R67</f>
        <v>1.6690132352934661</v>
      </c>
      <c r="S69" s="113">
        <f>IF(Inputs!$C$67=1,S68,S67)/Model!S67</f>
        <v>1.6071954781148794</v>
      </c>
      <c r="V69" s="15" t="s">
        <v>582</v>
      </c>
    </row>
    <row r="70" spans="2:22" x14ac:dyDescent="0.35">
      <c r="B70" s="40" t="s">
        <v>583</v>
      </c>
      <c r="C70" s="59" t="s">
        <v>336</v>
      </c>
      <c r="E70" s="94">
        <f>IF(Inputs!$C$67=1,E68/Model!E78,E67/Model!E82)</f>
        <v>12.620249547575964</v>
      </c>
      <c r="F70" s="94">
        <f>IF(Inputs!$C$67=1,F68/Model!F78,F67/Model!F82)</f>
        <v>15.853074898301029</v>
      </c>
      <c r="G70" s="94">
        <f>IF(Inputs!$C$67=1,G68/Model!G78,G67/Model!G82)</f>
        <v>13.947368421052632</v>
      </c>
      <c r="H70" s="94">
        <f>IF(Inputs!$C$67=1,H68/Model!H78,H67/Model!H82)</f>
        <v>11.775684322787061</v>
      </c>
      <c r="I70" s="94">
        <f>IF(Inputs!$C$67=1,I68/Model!I78,I67/Model!I82)</f>
        <v>10.205653546946008</v>
      </c>
      <c r="J70" s="94">
        <f>IF(Inputs!$C$67=1,J68/Model!J78,J67/Model!J82)</f>
        <v>9.1190640055058498</v>
      </c>
      <c r="K70" s="94">
        <f>IF(Inputs!$C$67=1,K68/Model!K78,K67/Model!K82)</f>
        <v>8.21145265245414</v>
      </c>
      <c r="L70" s="94">
        <f>IF(Inputs!$C$67=1,L68/Model!L78,L67/Model!L82)</f>
        <v>7.7880135954616962</v>
      </c>
      <c r="M70" s="94">
        <f>IF(Inputs!$C$67=1,M68/Model!M78,M67/Model!M82)</f>
        <v>7.2824176382319576</v>
      </c>
      <c r="N70" s="94">
        <f>IF(Inputs!$C$67=1,N68/Model!N78,N67/Model!N82)</f>
        <v>6.7729693572907355</v>
      </c>
      <c r="O70" s="94">
        <f>IF(Inputs!$C$67=1,O68/Model!O78,O67/Model!O82)</f>
        <v>6.3273575786275771</v>
      </c>
      <c r="P70" s="94">
        <f>IF(Inputs!$C$67=1,P68/Model!P78,P67/Model!P82)</f>
        <v>5.9502483742345085</v>
      </c>
      <c r="Q70" s="94">
        <f>IF(Inputs!$C$67=1,Q68/Model!Q78,Q67/Model!Q82)</f>
        <v>5.6410934108700577</v>
      </c>
      <c r="R70" s="94">
        <f>IF(Inputs!$C$67=1,R68/Model!R78,R67/Model!R82)</f>
        <v>5.388722262101771</v>
      </c>
      <c r="S70" s="94">
        <f>IF(Inputs!$C$67=1,S68/Model!S78,S67/Model!S82)</f>
        <v>5.1765533267837567</v>
      </c>
      <c r="V70" s="15" t="s">
        <v>584</v>
      </c>
    </row>
    <row r="71" spans="2:22" x14ac:dyDescent="0.35">
      <c r="B71" s="11" t="s">
        <v>585</v>
      </c>
      <c r="C71" s="59" t="s">
        <v>336</v>
      </c>
      <c r="E71" s="115">
        <f>IF(Inputs!$C$67=1,E68/(Model!E85-Model!E95),E67/Model!E85)</f>
        <v>21.33999033660816</v>
      </c>
      <c r="F71" s="115">
        <f>IF(Inputs!$C$67=1,F68/(Model!F85-Model!F95),F67/Model!F85)</f>
        <v>33.050636068845101</v>
      </c>
      <c r="G71" s="115">
        <f>IF(Inputs!$C$67=1,G68/(Model!G85-Model!G95),G67/Model!G85)</f>
        <v>26.026320958554312</v>
      </c>
      <c r="H71" s="115">
        <f>IF(Inputs!$C$67=1,H68/(Model!H85-Model!H95),H67/Model!H85)</f>
        <v>20.400307929176297</v>
      </c>
      <c r="I71" s="115">
        <f>IF(Inputs!$C$67=1,I68/(Model!I85-Model!I95),I67/Model!I85)</f>
        <v>16.827533655067317</v>
      </c>
      <c r="J71" s="115">
        <f>IF(Inputs!$C$67=1,J68/(Model!J85-Model!J95),J67/Model!J85)</f>
        <v>14.606989306581411</v>
      </c>
      <c r="K71" s="115">
        <f>IF(Inputs!$C$67=1,K68/(Model!K85-Model!K95),K67/Model!K85)</f>
        <v>12.795750845002415</v>
      </c>
      <c r="L71" s="115">
        <f>IF(Inputs!$C$67=1,L68/(Model!L85-Model!L95),L67/Model!L85)</f>
        <v>12.160976912882933</v>
      </c>
      <c r="M71" s="115">
        <f>IF(Inputs!$C$67=1,M68/(Model!M85-Model!M95),M67/Model!M85)</f>
        <v>11.319975277441578</v>
      </c>
      <c r="N71" s="115">
        <f>IF(Inputs!$C$67=1,N68/(Model!N85-Model!N95),N67/Model!N85)</f>
        <v>10.4461640231803</v>
      </c>
      <c r="O71" s="115">
        <f>IF(Inputs!$C$67=1,O68/(Model!O85-Model!O95),O67/Model!O85)</f>
        <v>9.6912943583394373</v>
      </c>
      <c r="P71" s="115">
        <f>IF(Inputs!$C$67=1,P68/(Model!P85-Model!P95),P67/Model!P85)</f>
        <v>9.0593444049046052</v>
      </c>
      <c r="Q71" s="115">
        <f>IF(Inputs!$C$67=1,Q68/(Model!Q85-Model!Q95),Q67/Model!Q85)</f>
        <v>8.5509611655278484</v>
      </c>
      <c r="R71" s="115">
        <f>IF(Inputs!$C$67=1,R68/(Model!R85-Model!R95),R67/Model!R85)</f>
        <v>8.1439730401513994</v>
      </c>
      <c r="S71" s="115">
        <f>IF(Inputs!$C$67=1,S68/(Model!S85-Model!S95),S67/Model!S85)</f>
        <v>7.8105692865810061</v>
      </c>
    </row>
    <row r="72" spans="2:22" x14ac:dyDescent="0.35">
      <c r="B72" s="11" t="s">
        <v>586</v>
      </c>
      <c r="C72" s="59" t="s">
        <v>336</v>
      </c>
      <c r="E72" s="115">
        <f>IF(Model!E105&lt;=0,"n.m.",Inputs!$C$27/Model!E105)</f>
        <v>27.375923970432972</v>
      </c>
      <c r="F72" s="115">
        <f>IF(Model!F105&lt;=0,"n.m.",Inputs!$C$27/Model!F105)</f>
        <v>57.900614182021229</v>
      </c>
      <c r="G72" s="115">
        <f>IF(Model!G105&lt;=0,"n.m.",Inputs!$C$27/Model!G105)</f>
        <v>33.60337005832794</v>
      </c>
      <c r="H72" s="115">
        <f>IF(Model!H105&lt;=0,"n.m.",Inputs!$C$27/Model!H105)</f>
        <v>25.598617625277718</v>
      </c>
      <c r="I72" s="115">
        <f>IF(Model!I105&lt;=0,"n.m.",Inputs!$C$27/Model!I105)</f>
        <v>22.068525218131533</v>
      </c>
      <c r="J72" s="115">
        <f>IF(Model!J105&lt;=0,"n.m.",Inputs!$C$27/Model!J105)</f>
        <v>18.019113814074718</v>
      </c>
      <c r="K72" s="115">
        <f>IF(Model!K105&lt;=0,"n.m.",Inputs!$C$27/Model!K105)</f>
        <v>15.431547619047617</v>
      </c>
      <c r="L72" s="115">
        <f>IF(Model!L105&lt;=0,"n.m.",Inputs!$C$27/Model!L105)</f>
        <v>14.232710707609316</v>
      </c>
      <c r="M72" s="115">
        <f>IF(Model!M105&lt;=0,"n.m.",Inputs!$C$27/Model!M105)</f>
        <v>12.866058721445047</v>
      </c>
      <c r="N72" s="115">
        <f>IF(Model!N105&lt;=0,"n.m.",Inputs!$C$27/Model!N105)</f>
        <v>11.612145083395694</v>
      </c>
      <c r="O72" s="115">
        <f>IF(Model!O105&lt;=0,"n.m.",Inputs!$C$27/Model!O105)</f>
        <v>10.579576244544294</v>
      </c>
      <c r="P72" s="115">
        <f>IF(Model!P105&lt;=0,"n.m.",Inputs!$C$27/Model!P105)</f>
        <v>9.7367125660421436</v>
      </c>
      <c r="Q72" s="115">
        <f>IF(Model!Q105&lt;=0,"n.m.",Inputs!$C$27/Model!Q105)</f>
        <v>9.079821796069881</v>
      </c>
      <c r="R72" s="115">
        <f>IF(Model!R105&lt;=0,"n.m.",Inputs!$C$27/Model!R105)</f>
        <v>8.5736575315309604</v>
      </c>
      <c r="S72" s="115">
        <f>IF(Model!S105&lt;=0,"n.m.",Inputs!$C$27/Model!S105)</f>
        <v>8.1647818002675763</v>
      </c>
    </row>
    <row r="73" spans="2:22" x14ac:dyDescent="0.35">
      <c r="B73" s="40" t="s">
        <v>587</v>
      </c>
      <c r="C73" s="59" t="s">
        <v>336</v>
      </c>
      <c r="E73" s="94">
        <f>Inputs!$C$27/E61</f>
        <v>8.1647114400440923</v>
      </c>
      <c r="F73" s="94">
        <f>Inputs!$C$27/F61</f>
        <v>7.1556720949489367</v>
      </c>
      <c r="G73" s="94">
        <f>Inputs!$C$27/G61</f>
        <v>5.8994197292069632</v>
      </c>
      <c r="H73" s="94">
        <f>Inputs!$C$27/H61</f>
        <v>5.3168580803937653</v>
      </c>
      <c r="I73" s="94">
        <f>Inputs!$C$27/I61</f>
        <v>4.8850574712643677</v>
      </c>
      <c r="J73" s="94">
        <f>Inputs!$C$27/J61</f>
        <v>4.4291632853542904</v>
      </c>
      <c r="K73" s="94">
        <f>Inputs!$C$27/K61</f>
        <v>3.9803477526580431</v>
      </c>
      <c r="L73" s="94">
        <f>Inputs!$C$27/L61</f>
        <v>3.6876521820616643</v>
      </c>
      <c r="M73" s="94">
        <f>Inputs!$C$27/M61</f>
        <v>3.5016762044259644</v>
      </c>
      <c r="N73" s="94">
        <f>Inputs!$C$27/N61</f>
        <v>3.3443673517227435</v>
      </c>
      <c r="O73" s="94">
        <f>Inputs!$C$27/O61</f>
        <v>3.2205259957876433</v>
      </c>
      <c r="P73" s="94">
        <f>Inputs!$C$27/P61</f>
        <v>3.1245136445780202</v>
      </c>
      <c r="Q73" s="94">
        <f>Inputs!$C$27/Q61</f>
        <v>3.0522304650486363</v>
      </c>
      <c r="R73" s="94">
        <f>Inputs!$C$27/R61</f>
        <v>3.0024759035584676</v>
      </c>
      <c r="S73" s="94">
        <f>Inputs!$C$27/S61</f>
        <v>2.9471030263810269</v>
      </c>
    </row>
    <row r="74" spans="2:22" x14ac:dyDescent="0.35">
      <c r="B74" s="40" t="s">
        <v>588</v>
      </c>
      <c r="C74" s="59" t="s">
        <v>323</v>
      </c>
      <c r="F74" s="45">
        <f>(Model!F125+Model!F94*(1-Inputs!$C$77))/F66</f>
        <v>2.2084474445515912E-2</v>
      </c>
      <c r="G74" s="45">
        <f>(Model!G125+Model!G94*(1-Inputs!$C$77))/G66</f>
        <v>3.4241851494696246E-2</v>
      </c>
      <c r="H74" s="45">
        <f>(Model!H125+Model!H94*(1-Inputs!$C$77))/H66</f>
        <v>4.0616007714561225E-2</v>
      </c>
      <c r="I74" s="45">
        <f>(Model!I125+Model!I94*(1-Inputs!$C$77))/I66</f>
        <v>4.6600964320154266E-2</v>
      </c>
      <c r="J74" s="45">
        <f>(Model!J125+Model!J94*(1-Inputs!$C$77))/J66</f>
        <v>5.5798842815814861E-2</v>
      </c>
      <c r="K74" s="45">
        <f>(Model!K125+Model!K94*(1-Inputs!$C$77))/K66</f>
        <v>6.5229893924783011E-2</v>
      </c>
      <c r="L74" s="45">
        <f>(Model!L125+Model!L94*(1-Drivers!L81))/L66</f>
        <v>5.4776706972634079E-2</v>
      </c>
      <c r="M74" s="45">
        <f>(Model!M125+Model!M94*(1-Drivers!M81))/M66</f>
        <v>6.0665039414583684E-2</v>
      </c>
      <c r="N74" s="45">
        <f>(Model!N125+Model!N94*(1-Drivers!N81))/N66</f>
        <v>6.7178623308932067E-2</v>
      </c>
      <c r="O74" s="45">
        <f>(Model!O125+Model!O94*(1-Drivers!O81))/O66</f>
        <v>7.5556616696703743E-2</v>
      </c>
      <c r="P74" s="45">
        <f>(Model!P125+Model!P94*(1-Drivers!P81))/P66</f>
        <v>8.3713607714305527E-2</v>
      </c>
      <c r="Q74" s="45">
        <f>(Model!Q125+Model!Q94*(1-Drivers!Q81))/Q66</f>
        <v>9.1325487896131707E-2</v>
      </c>
      <c r="R74" s="45">
        <f>(Model!R125+Model!R94*(1-Drivers!R81))/R66</f>
        <v>9.8383397527052899E-2</v>
      </c>
      <c r="S74" s="45">
        <f>(Model!S125+Model!S94*(1-Drivers!S81))/S66</f>
        <v>0.10254808525213917</v>
      </c>
    </row>
    <row r="75" spans="2:22" x14ac:dyDescent="0.35">
      <c r="B75" s="40" t="s">
        <v>589</v>
      </c>
      <c r="C75" s="59" t="s">
        <v>323</v>
      </c>
      <c r="E75" s="45">
        <f>Model!E107/Inputs!$C$27</f>
        <v>0</v>
      </c>
      <c r="F75" s="45">
        <f>Model!F107/Inputs!$C$27</f>
        <v>0</v>
      </c>
      <c r="G75" s="45">
        <f>Model!G107/Inputs!$C$27</f>
        <v>2.0491803278688523E-2</v>
      </c>
      <c r="H75" s="45">
        <f>Model!H107/Inputs!$C$27</f>
        <v>2.8688524590163935E-2</v>
      </c>
      <c r="I75" s="45">
        <f>Model!I107/Inputs!$C$27</f>
        <v>3.4426229508196723E-2</v>
      </c>
      <c r="J75" s="45">
        <f>Model!J107/Inputs!$C$27</f>
        <v>3.9344262295081964E-2</v>
      </c>
      <c r="K75" s="45">
        <f>Model!K107/Inputs!$C$27</f>
        <v>4.4262295081967218E-2</v>
      </c>
      <c r="L75" s="45">
        <f>Model!L107/Inputs!$C$27</f>
        <v>4.5669445079951416E-2</v>
      </c>
      <c r="M75" s="45">
        <f>Model!M107/Inputs!$C$27</f>
        <v>5.4406715774835177E-2</v>
      </c>
      <c r="N75" s="45">
        <f>Model!N107/Inputs!$C$27</f>
        <v>6.4587549898289798E-2</v>
      </c>
      <c r="O75" s="45">
        <f>Model!O107/Inputs!$C$27</f>
        <v>7.5617395395448497E-2</v>
      </c>
      <c r="P75" s="45">
        <f>Model!P107/Inputs!$C$27</f>
        <v>8.7298458718445535E-2</v>
      </c>
      <c r="Q75" s="45">
        <f>Model!Q107/Inputs!$C$27</f>
        <v>9.9120888076190752E-2</v>
      </c>
      <c r="R75" s="45">
        <f>Model!R107/Inputs!$C$27</f>
        <v>0.10497270233737585</v>
      </c>
      <c r="S75" s="45">
        <f>Model!S107/Inputs!$C$27</f>
        <v>0.1102295226028582</v>
      </c>
    </row>
    <row r="76" spans="2:22" ht="8" customHeight="1" x14ac:dyDescent="0.35"/>
    <row r="77" spans="2:22" ht="14.5" customHeight="1" x14ac:dyDescent="0.35">
      <c r="B77" s="9" t="s">
        <v>590</v>
      </c>
      <c r="C77" s="9"/>
      <c r="D77" s="9"/>
      <c r="E77" s="9"/>
      <c r="F77" s="9"/>
      <c r="G77" s="9"/>
      <c r="H77" s="9"/>
      <c r="I77" s="9"/>
      <c r="J77" s="9"/>
      <c r="K77" s="9"/>
      <c r="L77" s="9"/>
      <c r="M77" s="9"/>
      <c r="N77" s="9"/>
      <c r="O77" s="9"/>
      <c r="P77" s="9"/>
      <c r="Q77" s="9"/>
      <c r="R77" s="9"/>
      <c r="S77" s="9"/>
      <c r="T77" s="9"/>
    </row>
    <row r="78" spans="2:22" ht="5" customHeight="1" x14ac:dyDescent="0.35"/>
    <row r="79" spans="2:22" x14ac:dyDescent="0.35">
      <c r="B79" s="40" t="s">
        <v>455</v>
      </c>
      <c r="C79" s="59" t="s">
        <v>167</v>
      </c>
      <c r="E79" s="49">
        <f>Model!E67</f>
        <v>3790</v>
      </c>
      <c r="F79" s="49">
        <f>Model!F67</f>
        <v>3468</v>
      </c>
      <c r="G79" s="49">
        <f>Model!G67</f>
        <v>3668</v>
      </c>
      <c r="H79" s="49">
        <f>Model!H67</f>
        <v>4262</v>
      </c>
      <c r="I79" s="49">
        <f>Model!I67</f>
        <v>4687</v>
      </c>
      <c r="J79" s="49">
        <f>Model!J67</f>
        <v>5045</v>
      </c>
      <c r="K79" s="49">
        <f>Model!K67</f>
        <v>5433</v>
      </c>
      <c r="L79" s="49">
        <f>Model!L67</f>
        <v>5726.4479591482213</v>
      </c>
      <c r="M79" s="49">
        <f>Model!M67</f>
        <v>6083.8427205928429</v>
      </c>
      <c r="N79" s="49">
        <f>Model!N67</f>
        <v>6479.0281577074584</v>
      </c>
      <c r="O79" s="49">
        <f>Model!O67</f>
        <v>6875.8850742664126</v>
      </c>
      <c r="P79" s="49">
        <f>Model!P67</f>
        <v>7257.9391223272778</v>
      </c>
      <c r="Q79" s="49">
        <f>Model!Q67</f>
        <v>7613.3094600678996</v>
      </c>
      <c r="R79" s="49">
        <f>Model!R67</f>
        <v>7938.8226047651588</v>
      </c>
      <c r="S79" s="49">
        <f>Model!S67</f>
        <v>8244.1745141924257</v>
      </c>
    </row>
    <row r="80" spans="2:22" x14ac:dyDescent="0.35">
      <c r="B80" s="40" t="s">
        <v>591</v>
      </c>
      <c r="C80" s="59" t="s">
        <v>167</v>
      </c>
      <c r="E80" s="49">
        <f>IF(Inputs!$C$67=1,Model!E78,Model!E82)</f>
        <v>1049.8999999999996</v>
      </c>
      <c r="F80" s="49">
        <f>IF(Inputs!$C$67=1,Model!F78,Model!F82)</f>
        <v>835.8</v>
      </c>
      <c r="G80" s="49">
        <f>IF(Inputs!$C$67=1,Model!G78,Model!G82)</f>
        <v>950</v>
      </c>
      <c r="H80" s="49">
        <f>IF(Inputs!$C$67=1,Model!H78,Model!H82)</f>
        <v>1125.1999999999998</v>
      </c>
      <c r="I80" s="49">
        <f>IF(Inputs!$C$67=1,Model!I78,Model!I82)</f>
        <v>1298.2999999999997</v>
      </c>
      <c r="J80" s="49">
        <f>IF(Inputs!$C$67=1,Model!J78,Model!J82)</f>
        <v>1453</v>
      </c>
      <c r="K80" s="49">
        <f>IF(Inputs!$C$67=1,Model!K78,Model!K82)</f>
        <v>1613.6</v>
      </c>
      <c r="L80" s="49">
        <f>IF(Inputs!$C$67=1,Model!L78,Model!L82)</f>
        <v>1701.3324177709658</v>
      </c>
      <c r="M80" s="49">
        <f>IF(Inputs!$C$67=1,Model!M78,Model!M82)</f>
        <v>1819.4507179097827</v>
      </c>
      <c r="N80" s="49">
        <f>IF(Inputs!$C$67=1,Model!N78,Model!N82)</f>
        <v>1956.305912669912</v>
      </c>
      <c r="O80" s="49">
        <f>IF(Inputs!$C$67=1,Model!O78,Model!O82)</f>
        <v>2094.0811129049489</v>
      </c>
      <c r="P80" s="49">
        <f>IF(Inputs!$C$67=1,Model!P78,Model!P82)</f>
        <v>2226.7978018152216</v>
      </c>
      <c r="Q80" s="49">
        <f>IF(Inputs!$C$67=1,Model!Q78,Model!Q82)</f>
        <v>2348.8354180535325</v>
      </c>
      <c r="R80" s="49">
        <f>IF(Inputs!$C$67=1,Model!R78,Model!R82)</f>
        <v>2458.8389149661025</v>
      </c>
      <c r="S80" s="49">
        <f>IF(Inputs!$C$67=1,Model!S78,Model!S82)</f>
        <v>2559.6181790389001</v>
      </c>
    </row>
    <row r="81" spans="2:19" x14ac:dyDescent="0.35">
      <c r="B81" s="40" t="s">
        <v>592</v>
      </c>
      <c r="C81" s="59" t="s">
        <v>167</v>
      </c>
      <c r="E81" s="49">
        <f>IF(Inputs!$C$67=1,Model!E85-Model!E95,Model!E85)</f>
        <v>620.89999999999964</v>
      </c>
      <c r="F81" s="49">
        <f>IF(Inputs!$C$67=1,Model!F85-Model!F95,Model!F85)</f>
        <v>400.9</v>
      </c>
      <c r="G81" s="49">
        <f>IF(Inputs!$C$67=1,Model!G85-Model!G95,Model!G85)</f>
        <v>509.1</v>
      </c>
      <c r="H81" s="49">
        <f>IF(Inputs!$C$67=1,Model!H85-Model!H95,Model!H85)</f>
        <v>649.49999999999977</v>
      </c>
      <c r="I81" s="49">
        <f>IF(Inputs!$C$67=1,Model!I85-Model!I95,Model!I85)</f>
        <v>787.39999999999975</v>
      </c>
      <c r="J81" s="49">
        <f>IF(Inputs!$C$67=1,Model!J85-Model!J95,Model!J85)</f>
        <v>907.10000000000014</v>
      </c>
      <c r="K81" s="49">
        <f>IF(Inputs!$C$67=1,Model!K85-Model!K95,Model!K85)</f>
        <v>1035.5</v>
      </c>
      <c r="L81" s="49">
        <f>IF(Inputs!$C$67=1,Model!L85-Model!L95,Model!L85)</f>
        <v>1089.5506253254532</v>
      </c>
      <c r="M81" s="49">
        <f>IF(Inputs!$C$67=1,Model!M85-Model!M95,Model!M85)</f>
        <v>1170.4972559793987</v>
      </c>
      <c r="N81" s="49">
        <f>IF(Inputs!$C$67=1,Model!N85-Model!N95,Model!N85)</f>
        <v>1268.408189896111</v>
      </c>
      <c r="O81" s="49">
        <f>IF(Inputs!$C$67=1,Model!O85-Model!O95,Model!O85)</f>
        <v>1367.2064339474186</v>
      </c>
      <c r="P81" s="49">
        <f>IF(Inputs!$C$67=1,Model!P85-Model!P95,Model!P85)</f>
        <v>1462.5782405210946</v>
      </c>
      <c r="Q81" s="49">
        <f>IF(Inputs!$C$67=1,Model!Q85-Model!Q95,Model!Q85)</f>
        <v>1549.5334084097763</v>
      </c>
      <c r="R81" s="49">
        <f>IF(Inputs!$C$67=1,Model!R85-Model!R95,Model!R85)</f>
        <v>1626.9700224540131</v>
      </c>
      <c r="S81" s="49">
        <f>IF(Inputs!$C$67=1,Model!S85-Model!S95,Model!S85)</f>
        <v>1696.4192383216214</v>
      </c>
    </row>
    <row r="82" spans="2:19" x14ac:dyDescent="0.35">
      <c r="B82" s="40" t="s">
        <v>278</v>
      </c>
      <c r="C82" s="59" t="s">
        <v>167</v>
      </c>
      <c r="E82" s="49">
        <f>Model!E100</f>
        <v>378.79999999999967</v>
      </c>
      <c r="F82" s="49">
        <f>Model!F100</f>
        <v>179.09999999999997</v>
      </c>
      <c r="G82" s="49">
        <f>Model!G100</f>
        <v>308.59999999999991</v>
      </c>
      <c r="H82" s="49">
        <f>Model!H100</f>
        <v>405.0999999999998</v>
      </c>
      <c r="I82" s="49">
        <f>Model!I100</f>
        <v>469.89999999999964</v>
      </c>
      <c r="J82" s="49">
        <f>Model!J100</f>
        <v>575.5</v>
      </c>
      <c r="K82" s="49">
        <f>Model!K100</f>
        <v>672.00000000000011</v>
      </c>
      <c r="L82" s="49">
        <f>Model!L100</f>
        <v>729.9012814993057</v>
      </c>
      <c r="M82" s="49">
        <f>Model!M100</f>
        <v>792.56316700330069</v>
      </c>
      <c r="N82" s="49">
        <f>Model!N100</f>
        <v>862.81414485494599</v>
      </c>
      <c r="O82" s="49">
        <f>Model!O100</f>
        <v>931.76990875394335</v>
      </c>
      <c r="P82" s="49">
        <f>Model!P100</f>
        <v>998.2409912712825</v>
      </c>
      <c r="Q82" s="49">
        <f>Model!Q100</f>
        <v>1058.5338333472512</v>
      </c>
      <c r="R82" s="49">
        <f>Model!R100</f>
        <v>1111.9783094430195</v>
      </c>
      <c r="S82" s="49">
        <f>Model!S100</f>
        <v>1159.6274088666946</v>
      </c>
    </row>
    <row r="83" spans="2:19" x14ac:dyDescent="0.35">
      <c r="B83" s="40" t="s">
        <v>347</v>
      </c>
      <c r="C83" s="59" t="s">
        <v>165</v>
      </c>
      <c r="E83" s="74">
        <f>Model!E105</f>
        <v>4.4564705882352902</v>
      </c>
      <c r="F83" s="74">
        <f>Model!F105</f>
        <v>2.1070588235294112</v>
      </c>
      <c r="G83" s="74">
        <f>Model!G105</f>
        <v>3.6305882352941166</v>
      </c>
      <c r="H83" s="74">
        <f>Model!H105</f>
        <v>4.7658823529411745</v>
      </c>
      <c r="I83" s="74">
        <f>Model!I105</f>
        <v>5.5282352941176427</v>
      </c>
      <c r="J83" s="74">
        <f>Model!J105</f>
        <v>6.7705882352941176</v>
      </c>
      <c r="K83" s="74">
        <f>Model!K105</f>
        <v>7.9058823529411777</v>
      </c>
      <c r="L83" s="74">
        <f>Model!L105</f>
        <v>8.5718035380831878</v>
      </c>
      <c r="M83" s="74">
        <f>Model!M105</f>
        <v>9.4823133207569885</v>
      </c>
      <c r="N83" s="74">
        <f>Model!N105</f>
        <v>10.506241450121808</v>
      </c>
      <c r="O83" s="74">
        <f>Model!O105</f>
        <v>11.531652797805895</v>
      </c>
      <c r="P83" s="74">
        <f>Model!P105</f>
        <v>12.529896427823948</v>
      </c>
      <c r="Q83" s="74">
        <f>Model!Q105</f>
        <v>13.436387050328079</v>
      </c>
      <c r="R83" s="74">
        <f>Model!R105</f>
        <v>14.229632983510948</v>
      </c>
      <c r="S83" s="74">
        <f>Model!S105</f>
        <v>14.942224175054111</v>
      </c>
    </row>
    <row r="84" spans="2:19" x14ac:dyDescent="0.35">
      <c r="B84" s="65" t="s">
        <v>593</v>
      </c>
      <c r="C84" s="59" t="s">
        <v>323</v>
      </c>
      <c r="E84" s="69">
        <f t="shared" ref="E84:S84" si="3">E81/E79</f>
        <v>0.16382585751978881</v>
      </c>
      <c r="F84" s="69">
        <f t="shared" si="3"/>
        <v>0.11559976931949249</v>
      </c>
      <c r="G84" s="69">
        <f t="shared" si="3"/>
        <v>0.13879498364231188</v>
      </c>
      <c r="H84" s="69">
        <f t="shared" si="3"/>
        <v>0.15239324260910364</v>
      </c>
      <c r="I84" s="69">
        <f t="shared" si="3"/>
        <v>0.16799658630253889</v>
      </c>
      <c r="J84" s="69">
        <f t="shared" si="3"/>
        <v>0.17980178394449953</v>
      </c>
      <c r="K84" s="69">
        <f t="shared" si="3"/>
        <v>0.19059451500092031</v>
      </c>
      <c r="L84" s="69">
        <f t="shared" si="3"/>
        <v>0.19026639779112181</v>
      </c>
      <c r="M84" s="69">
        <f t="shared" si="3"/>
        <v>0.19239439770812139</v>
      </c>
      <c r="N84" s="69">
        <f t="shared" si="3"/>
        <v>0.19577136555383098</v>
      </c>
      <c r="O84" s="69">
        <f t="shared" si="3"/>
        <v>0.19884079201153398</v>
      </c>
      <c r="P84" s="69">
        <f t="shared" si="3"/>
        <v>0.20151426126210259</v>
      </c>
      <c r="Q84" s="69">
        <f t="shared" si="3"/>
        <v>0.20352954474491528</v>
      </c>
      <c r="R84" s="69">
        <f t="shared" si="3"/>
        <v>0.20493845289822307</v>
      </c>
      <c r="S84" s="69">
        <f t="shared" si="3"/>
        <v>0.20577187387302626</v>
      </c>
    </row>
  </sheetData>
  <mergeCells count="2">
    <mergeCell ref="E4:K4"/>
    <mergeCell ref="L4:S4"/>
  </mergeCells>
  <printOptions horizontalCentered="1"/>
  <pageMargins left="0.4" right="0.4" top="1" bottom="1" header="0.5" footer="0.5"/>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3255"/>
    <pageSetUpPr fitToPage="1"/>
  </sheetPr>
  <dimension ref="B2:N24"/>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Example Company ASA</v>
      </c>
    </row>
    <row r="9" spans="2:14" ht="22" customHeight="1" x14ac:dyDescent="0.4">
      <c r="D9" s="34" t="s">
        <v>146</v>
      </c>
    </row>
    <row r="12" spans="2:14" ht="30" customHeight="1" x14ac:dyDescent="0.6">
      <c r="D12" s="3" t="s">
        <v>594</v>
      </c>
    </row>
    <row r="14" spans="2:14" x14ac:dyDescent="0.35">
      <c r="D14" s="4" t="s">
        <v>43</v>
      </c>
    </row>
    <row r="17" spans="4:6" ht="16" customHeight="1" x14ac:dyDescent="0.35">
      <c r="D17" s="35" t="s">
        <v>45</v>
      </c>
      <c r="E17" s="36" t="s">
        <v>46</v>
      </c>
      <c r="F17" s="37" t="s">
        <v>47</v>
      </c>
    </row>
    <row r="18" spans="4:6" ht="16" customHeight="1" x14ac:dyDescent="0.35">
      <c r="D18" s="35" t="s">
        <v>48</v>
      </c>
      <c r="E18" s="36" t="s">
        <v>49</v>
      </c>
      <c r="F18" s="37" t="s">
        <v>50</v>
      </c>
    </row>
    <row r="19" spans="4:6" ht="16" customHeight="1" x14ac:dyDescent="0.35">
      <c r="D19" s="35" t="s">
        <v>51</v>
      </c>
      <c r="E19" s="36" t="s">
        <v>52</v>
      </c>
      <c r="F19" s="37" t="s">
        <v>53</v>
      </c>
    </row>
    <row r="20" spans="4:6" ht="16" customHeight="1" x14ac:dyDescent="0.35">
      <c r="D20" s="35" t="s">
        <v>54</v>
      </c>
      <c r="E20" s="36" t="s">
        <v>55</v>
      </c>
      <c r="F20" s="37" t="s">
        <v>56</v>
      </c>
    </row>
    <row r="21" spans="4:6" ht="16" customHeight="1" x14ac:dyDescent="0.35">
      <c r="D21" s="35" t="s">
        <v>57</v>
      </c>
      <c r="E21" s="36" t="s">
        <v>58</v>
      </c>
      <c r="F21" s="37" t="s">
        <v>59</v>
      </c>
    </row>
    <row r="24" spans="4:6" x14ac:dyDescent="0.35">
      <c r="D24" s="38" t="s">
        <v>147</v>
      </c>
    </row>
  </sheetData>
  <hyperlinks>
    <hyperlink ref="D17" location="'WACC'!A1" display="WACC" xr:uid="{00000000-0004-0000-0B00-000000000000}"/>
    <hyperlink ref="D18" location="'DCF'!A1" display="DCF" xr:uid="{00000000-0004-0000-0B00-000001000000}"/>
    <hyperlink ref="D19" location="'Sensitivity'!A1" display="Sensitivity" xr:uid="{00000000-0004-0000-0B00-000002000000}"/>
    <hyperlink ref="D20" location="'Comps'!A1" display="Comps" xr:uid="{00000000-0004-0000-0B00-000003000000}"/>
    <hyperlink ref="D21" location="'Football'!A1" display="Football" xr:uid="{00000000-0004-0000-0B00-000004000000}"/>
    <hyperlink ref="D24" location="'Cover'!A1" display="← Back to cover" xr:uid="{00000000-0004-0000-0B00-000005000000}"/>
  </hyperlinks>
  <printOptions horizontalCentered="1"/>
  <pageMargins left="0.4" right="0.4" top="1" bottom="1" header="0.5" footer="0.5"/>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3255"/>
    <pageSetUpPr fitToPage="1"/>
  </sheetPr>
  <dimension ref="B1:M34"/>
  <sheetViews>
    <sheetView showGridLines="0" zoomScale="90" workbookViewId="0"/>
  </sheetViews>
  <sheetFormatPr defaultRowHeight="14.5" x14ac:dyDescent="0.35"/>
  <cols>
    <col min="1" max="1" width="2" customWidth="1"/>
    <col min="2" max="2" width="50" customWidth="1"/>
    <col min="3" max="3" width="11" customWidth="1"/>
    <col min="4" max="4" width="3" customWidth="1"/>
    <col min="5" max="5" width="52" customWidth="1"/>
    <col min="6" max="6" width="3" customWidth="1"/>
    <col min="7" max="7" width="16" customWidth="1"/>
    <col min="8" max="13" width="11" customWidth="1"/>
  </cols>
  <sheetData>
    <row r="1" spans="2:13" ht="24" customHeight="1" x14ac:dyDescent="0.4">
      <c r="B1" s="30" t="s">
        <v>595</v>
      </c>
      <c r="M1" s="54" t="str">
        <f>Inputs!$C$6&amp;"  |  Scenario: "&amp;Inputs!$C$53</f>
        <v>Example Company ASA  |  Scenario: Base</v>
      </c>
    </row>
    <row r="2" spans="2:13" x14ac:dyDescent="0.35">
      <c r="B2" s="15" t="s">
        <v>596</v>
      </c>
    </row>
    <row r="4" spans="2:13" ht="14.5" customHeight="1" x14ac:dyDescent="0.35">
      <c r="B4" s="9" t="s">
        <v>597</v>
      </c>
      <c r="C4" s="9"/>
      <c r="D4" s="9"/>
      <c r="E4" s="9"/>
      <c r="G4" s="31" t="s">
        <v>598</v>
      </c>
      <c r="H4" s="31"/>
      <c r="I4" s="31"/>
      <c r="J4" s="31"/>
      <c r="K4" s="31"/>
      <c r="L4" s="31"/>
      <c r="M4" s="31"/>
    </row>
    <row r="5" spans="2:13" x14ac:dyDescent="0.35">
      <c r="G5" s="18" t="s">
        <v>599</v>
      </c>
      <c r="H5" s="18" t="s">
        <v>600</v>
      </c>
      <c r="I5" s="86" t="s">
        <v>601</v>
      </c>
      <c r="J5" s="86" t="s">
        <v>602</v>
      </c>
      <c r="K5" s="86" t="s">
        <v>603</v>
      </c>
      <c r="L5" s="86" t="s">
        <v>378</v>
      </c>
      <c r="M5" s="86" t="s">
        <v>604</v>
      </c>
    </row>
    <row r="6" spans="2:13" x14ac:dyDescent="0.35">
      <c r="B6" s="40" t="s">
        <v>605</v>
      </c>
      <c r="C6" s="116">
        <v>0.04</v>
      </c>
      <c r="D6" s="15"/>
      <c r="E6" s="15" t="s">
        <v>606</v>
      </c>
      <c r="G6" s="117" t="str">
        <f>Comps!B6</f>
        <v>Peer A ASA</v>
      </c>
      <c r="H6" s="117" t="str">
        <f>Comps!C6</f>
        <v>NO</v>
      </c>
      <c r="I6" s="118">
        <v>1.05</v>
      </c>
      <c r="J6" s="119">
        <f t="shared" ref="J6:J13" si="0">0.67*I6+0.33</f>
        <v>1.0335000000000001</v>
      </c>
      <c r="K6" s="87">
        <v>0.28000000000000003</v>
      </c>
      <c r="L6" s="87">
        <v>0.22</v>
      </c>
      <c r="M6" s="119">
        <f t="shared" ref="M6:M13" si="1">IF($M$17=1,J6,I6)/(1+(1-L6)*K6)</f>
        <v>0.84824359816152339</v>
      </c>
    </row>
    <row r="7" spans="2:13" x14ac:dyDescent="0.35">
      <c r="B7" s="40" t="s">
        <v>607</v>
      </c>
      <c r="C7" s="116">
        <v>0.05</v>
      </c>
      <c r="D7" s="15"/>
      <c r="E7" s="15" t="s">
        <v>608</v>
      </c>
      <c r="G7" s="117" t="str">
        <f>Comps!B7</f>
        <v>Peer B AB</v>
      </c>
      <c r="H7" s="117" t="str">
        <f>Comps!C7</f>
        <v>SE</v>
      </c>
      <c r="I7" s="118">
        <v>0.98</v>
      </c>
      <c r="J7" s="119">
        <f t="shared" si="0"/>
        <v>0.98660000000000014</v>
      </c>
      <c r="K7" s="87">
        <v>0.35</v>
      </c>
      <c r="L7" s="87">
        <v>0.20599999999999999</v>
      </c>
      <c r="M7" s="119">
        <f t="shared" si="1"/>
        <v>0.77204789107128891</v>
      </c>
    </row>
    <row r="8" spans="2:13" x14ac:dyDescent="0.35">
      <c r="B8" s="40" t="s">
        <v>609</v>
      </c>
      <c r="C8" s="120">
        <f>MEDIAN($M$6:$M$13)</f>
        <v>0.82200059623824506</v>
      </c>
      <c r="D8" s="15"/>
      <c r="E8" s="15" t="s">
        <v>610</v>
      </c>
      <c r="G8" s="117" t="str">
        <f>Comps!B8</f>
        <v>Peer C A/S</v>
      </c>
      <c r="H8" s="117" t="str">
        <f>Comps!C8</f>
        <v>DK</v>
      </c>
      <c r="I8" s="118">
        <v>1.1200000000000001</v>
      </c>
      <c r="J8" s="119">
        <f t="shared" si="0"/>
        <v>1.0804</v>
      </c>
      <c r="K8" s="87">
        <v>0.42</v>
      </c>
      <c r="L8" s="87">
        <v>0.22</v>
      </c>
      <c r="M8" s="119">
        <f t="shared" si="1"/>
        <v>0.81379933714974395</v>
      </c>
    </row>
    <row r="9" spans="2:13" x14ac:dyDescent="0.35">
      <c r="B9" s="40" t="s">
        <v>611</v>
      </c>
      <c r="C9" s="118"/>
      <c r="D9" s="15"/>
      <c r="E9" s="15" t="s">
        <v>612</v>
      </c>
      <c r="G9" s="117" t="str">
        <f>Comps!B9</f>
        <v>Peer D Oyj</v>
      </c>
      <c r="H9" s="117" t="str">
        <f>Comps!C9</f>
        <v>FI</v>
      </c>
      <c r="I9" s="118">
        <v>1.21</v>
      </c>
      <c r="J9" s="119">
        <f t="shared" si="0"/>
        <v>1.1407</v>
      </c>
      <c r="K9" s="87">
        <v>0.55000000000000004</v>
      </c>
      <c r="L9" s="87">
        <v>0.2</v>
      </c>
      <c r="M9" s="119">
        <f t="shared" si="1"/>
        <v>0.79215277777777782</v>
      </c>
    </row>
    <row r="10" spans="2:13" x14ac:dyDescent="0.35">
      <c r="B10" s="40" t="s">
        <v>613</v>
      </c>
      <c r="C10" s="120">
        <f>IF($C$9="",$C$8,$C$9)</f>
        <v>0.82200059623824506</v>
      </c>
      <c r="D10" s="15"/>
      <c r="E10" s="15"/>
      <c r="G10" s="117" t="str">
        <f>Comps!B10</f>
        <v>Peer E AB</v>
      </c>
      <c r="H10" s="117" t="str">
        <f>Comps!C10</f>
        <v>SE</v>
      </c>
      <c r="I10" s="118">
        <v>0.92</v>
      </c>
      <c r="J10" s="119">
        <f t="shared" si="0"/>
        <v>0.94640000000000013</v>
      </c>
      <c r="K10" s="87">
        <v>0.18</v>
      </c>
      <c r="L10" s="87">
        <v>0.20599999999999999</v>
      </c>
      <c r="M10" s="119">
        <f t="shared" si="1"/>
        <v>0.82805445700486491</v>
      </c>
    </row>
    <row r="11" spans="2:13" x14ac:dyDescent="0.35">
      <c r="B11" s="40" t="s">
        <v>614</v>
      </c>
      <c r="C11" s="45">
        <f>$C$29/$C$30</f>
        <v>0.11111111111111112</v>
      </c>
      <c r="D11" s="15"/>
      <c r="E11" s="15"/>
      <c r="G11" s="117" t="str">
        <f>Comps!B11</f>
        <v>Peer F plc</v>
      </c>
      <c r="H11" s="117" t="str">
        <f>Comps!C11</f>
        <v>UK</v>
      </c>
      <c r="I11" s="118">
        <v>1.01</v>
      </c>
      <c r="J11" s="119">
        <f t="shared" si="0"/>
        <v>1.0067000000000002</v>
      </c>
      <c r="K11" s="87">
        <v>0.26</v>
      </c>
      <c r="L11" s="87">
        <v>0.25</v>
      </c>
      <c r="M11" s="119">
        <f t="shared" si="1"/>
        <v>0.84242677824267787</v>
      </c>
    </row>
    <row r="12" spans="2:13" x14ac:dyDescent="0.35">
      <c r="B12" s="40" t="s">
        <v>378</v>
      </c>
      <c r="C12" s="78">
        <f>Drivers!$H$94</f>
        <v>0.22</v>
      </c>
      <c r="D12" s="15"/>
      <c r="E12" s="15"/>
      <c r="G12" s="117" t="str">
        <f>Comps!B12</f>
        <v>Peer G SE</v>
      </c>
      <c r="H12" s="117" t="str">
        <f>Comps!C12</f>
        <v>DE</v>
      </c>
      <c r="I12" s="118">
        <v>1.08</v>
      </c>
      <c r="J12" s="119">
        <f t="shared" si="0"/>
        <v>1.0536000000000001</v>
      </c>
      <c r="K12" s="87">
        <v>0.38</v>
      </c>
      <c r="L12" s="87">
        <v>0.3</v>
      </c>
      <c r="M12" s="119">
        <f t="shared" si="1"/>
        <v>0.83222748815165881</v>
      </c>
    </row>
    <row r="13" spans="2:13" x14ac:dyDescent="0.35">
      <c r="B13" s="40" t="s">
        <v>615</v>
      </c>
      <c r="C13" s="120">
        <f>$C$10*(1+(1-$C$12)*$C$11)</f>
        <v>0.89324064791222635</v>
      </c>
      <c r="D13" s="15"/>
      <c r="E13" s="15" t="s">
        <v>616</v>
      </c>
      <c r="G13" s="117" t="str">
        <f>Comps!B13</f>
        <v>Peer H NV</v>
      </c>
      <c r="H13" s="117" t="str">
        <f>Comps!C13</f>
        <v>NL</v>
      </c>
      <c r="I13" s="118">
        <v>1.1499999999999999</v>
      </c>
      <c r="J13" s="119">
        <f t="shared" si="0"/>
        <v>1.1005</v>
      </c>
      <c r="K13" s="87">
        <v>0.47</v>
      </c>
      <c r="L13" s="87">
        <v>0.25800000000000001</v>
      </c>
      <c r="M13" s="119">
        <f t="shared" si="1"/>
        <v>0.81594673547162533</v>
      </c>
    </row>
    <row r="14" spans="2:13" x14ac:dyDescent="0.35">
      <c r="B14" s="40" t="s">
        <v>617</v>
      </c>
      <c r="C14" s="116">
        <v>0.01</v>
      </c>
      <c r="D14" s="15"/>
      <c r="E14" s="15" t="s">
        <v>618</v>
      </c>
      <c r="G14" s="61" t="s">
        <v>619</v>
      </c>
      <c r="H14" s="63"/>
      <c r="I14" s="121">
        <f>MEDIAN(I6:I13)</f>
        <v>1.0649999999999999</v>
      </c>
      <c r="J14" s="121">
        <f>MEDIAN(J6:J13)</f>
        <v>1.0435500000000002</v>
      </c>
      <c r="K14" s="122">
        <f>MEDIAN(K6:K13)</f>
        <v>0.36499999999999999</v>
      </c>
      <c r="L14" s="122">
        <f>MEDIAN(L6:L13)</f>
        <v>0.22</v>
      </c>
      <c r="M14" s="121">
        <f>MEDIAN(M6:M13)</f>
        <v>0.82200059623824506</v>
      </c>
    </row>
    <row r="15" spans="2:13" x14ac:dyDescent="0.35">
      <c r="B15" s="40" t="s">
        <v>620</v>
      </c>
      <c r="C15" s="116">
        <v>0</v>
      </c>
      <c r="D15" s="15"/>
      <c r="E15" s="15" t="s">
        <v>621</v>
      </c>
      <c r="G15" s="11" t="s">
        <v>622</v>
      </c>
      <c r="I15" s="119">
        <f>AVERAGE(I6:I13)</f>
        <v>1.0649999999999999</v>
      </c>
      <c r="J15" s="119">
        <f>AVERAGE(J6:J13)</f>
        <v>1.04355</v>
      </c>
      <c r="K15" s="123">
        <f>AVERAGE(K6:K13)</f>
        <v>0.36124999999999996</v>
      </c>
      <c r="L15" s="123">
        <f>AVERAGE(L6:L13)</f>
        <v>0.23250000000000001</v>
      </c>
      <c r="M15" s="119">
        <f>AVERAGE(M6:M13)</f>
        <v>0.81811238287889521</v>
      </c>
    </row>
    <row r="16" spans="2:13" x14ac:dyDescent="0.35">
      <c r="B16" s="11" t="s">
        <v>623</v>
      </c>
      <c r="C16" s="124">
        <f>$C$6+$C$13*$C$7+$C$14+$C$15</f>
        <v>9.4662032395611315E-2</v>
      </c>
      <c r="D16" s="15"/>
      <c r="E16" s="15"/>
    </row>
    <row r="17" spans="2:13" x14ac:dyDescent="0.35">
      <c r="G17" s="40" t="s">
        <v>624</v>
      </c>
      <c r="M17" s="97">
        <v>1</v>
      </c>
    </row>
    <row r="18" spans="2:13" ht="14.5" customHeight="1" x14ac:dyDescent="0.35">
      <c r="B18" s="9" t="s">
        <v>625</v>
      </c>
      <c r="C18" s="9"/>
      <c r="D18" s="9"/>
      <c r="E18" s="9"/>
      <c r="G18" s="15" t="s">
        <v>626</v>
      </c>
    </row>
    <row r="19" spans="2:13" x14ac:dyDescent="0.35">
      <c r="G19" s="15" t="s">
        <v>627</v>
      </c>
    </row>
    <row r="20" spans="2:13" x14ac:dyDescent="0.35">
      <c r="B20" s="40" t="s">
        <v>628</v>
      </c>
      <c r="C20" s="116">
        <v>0.02</v>
      </c>
      <c r="D20" s="15"/>
      <c r="E20" s="15" t="s">
        <v>629</v>
      </c>
    </row>
    <row r="21" spans="2:13" x14ac:dyDescent="0.35">
      <c r="B21" s="40" t="s">
        <v>630</v>
      </c>
      <c r="C21" s="125">
        <f>$C$6+$C$20</f>
        <v>0.06</v>
      </c>
      <c r="D21" s="15"/>
      <c r="E21" s="15"/>
    </row>
    <row r="22" spans="2:13" x14ac:dyDescent="0.35">
      <c r="B22" s="11" t="s">
        <v>631</v>
      </c>
      <c r="C22" s="124">
        <f>$C$21*(1-$C$12)</f>
        <v>4.6800000000000001E-2</v>
      </c>
      <c r="D22" s="15"/>
      <c r="E22" s="15"/>
    </row>
    <row r="24" spans="2:13" ht="14.5" customHeight="1" x14ac:dyDescent="0.35">
      <c r="B24" s="9" t="s">
        <v>632</v>
      </c>
      <c r="C24" s="9"/>
      <c r="D24" s="9"/>
      <c r="E24" s="9"/>
    </row>
    <row r="26" spans="2:13" x14ac:dyDescent="0.35">
      <c r="B26" s="40" t="s">
        <v>633</v>
      </c>
      <c r="C26" s="42">
        <v>1</v>
      </c>
      <c r="D26" s="15"/>
      <c r="E26" s="15" t="s">
        <v>634</v>
      </c>
    </row>
    <row r="27" spans="2:13" x14ac:dyDescent="0.35">
      <c r="B27" s="40" t="s">
        <v>635</v>
      </c>
      <c r="C27" s="52">
        <v>0.1</v>
      </c>
      <c r="D27" s="15"/>
      <c r="E27" s="15" t="s">
        <v>636</v>
      </c>
    </row>
    <row r="28" spans="2:13" x14ac:dyDescent="0.35">
      <c r="B28" s="65" t="s">
        <v>637</v>
      </c>
      <c r="C28" s="69">
        <f>SUMPRODUCT((Model!$L$135:$S$135&gt;0)*Model!$L$135:$S$135/((Model!$L$135:$S$135&gt;0)*Model!$L$135:$S$135+Inputs!$C$32))/8</f>
        <v>0.10380659765758768</v>
      </c>
      <c r="D28" s="15"/>
      <c r="E28" s="15" t="s">
        <v>638</v>
      </c>
    </row>
    <row r="29" spans="2:13" x14ac:dyDescent="0.35">
      <c r="B29" s="11" t="s">
        <v>639</v>
      </c>
      <c r="C29" s="110">
        <f>IF($C$26=2,$C$28,$C$27)</f>
        <v>0.1</v>
      </c>
      <c r="D29" s="15"/>
      <c r="E29" s="15"/>
    </row>
    <row r="30" spans="2:13" x14ac:dyDescent="0.35">
      <c r="B30" s="40" t="s">
        <v>640</v>
      </c>
      <c r="C30" s="45">
        <f>1-$C$29</f>
        <v>0.9</v>
      </c>
      <c r="D30" s="15"/>
      <c r="E30" s="15"/>
    </row>
    <row r="31" spans="2:13" x14ac:dyDescent="0.35">
      <c r="B31" s="65" t="s">
        <v>641</v>
      </c>
      <c r="C31" s="69">
        <f>Inputs!$C$42/(Inputs!$C$42+Inputs!$C$32)</f>
        <v>8.9951733216322952E-2</v>
      </c>
      <c r="D31" s="15"/>
      <c r="E31" s="15"/>
    </row>
    <row r="32" spans="2:13" x14ac:dyDescent="0.35">
      <c r="B32" s="11" t="s">
        <v>642</v>
      </c>
      <c r="C32" s="126">
        <f>$C$30*$C$16+$C$29*$C$22</f>
        <v>8.9875829156050191E-2</v>
      </c>
      <c r="D32" s="15"/>
      <c r="E32" s="15"/>
    </row>
    <row r="33" spans="2:5" x14ac:dyDescent="0.35">
      <c r="B33" s="40" t="s">
        <v>643</v>
      </c>
      <c r="C33" s="127"/>
      <c r="D33" s="15"/>
      <c r="E33" s="15" t="s">
        <v>644</v>
      </c>
    </row>
    <row r="34" spans="2:5" x14ac:dyDescent="0.35">
      <c r="B34" s="11" t="s">
        <v>645</v>
      </c>
      <c r="C34" s="124">
        <f>IF($C$33="",$C$32,$C$33)</f>
        <v>8.9875829156050191E-2</v>
      </c>
      <c r="D34" s="15"/>
      <c r="E34" s="15"/>
    </row>
  </sheetData>
  <dataValidations count="1">
    <dataValidation type="list" sqref="C26" xr:uid="{00000000-0002-0000-0C00-000000000000}">
      <formula1>"1,2"</formula1>
    </dataValidation>
  </dataValidations>
  <printOptions horizontalCentered="1"/>
  <pageMargins left="0.4" right="0.4" top="1" bottom="1" header="0.5" footer="0.5"/>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3255"/>
    <pageSetUpPr fitToPage="1"/>
  </sheetPr>
  <dimension ref="B1:V114"/>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20" width="9.453125" customWidth="1"/>
    <col min="21" max="21" width="1.453125" customWidth="1"/>
    <col min="22" max="22" width="58" customWidth="1"/>
  </cols>
  <sheetData>
    <row r="1" spans="2:22" ht="24" customHeight="1" x14ac:dyDescent="0.4">
      <c r="B1" s="30" t="s">
        <v>646</v>
      </c>
      <c r="T1" s="54" t="str">
        <f>Inputs!$C$6&amp;"  |  Scenario: "&amp;Inputs!$C$53</f>
        <v>Example Company ASA  |  Scenario: Base</v>
      </c>
    </row>
    <row r="2" spans="2:22" x14ac:dyDescent="0.35">
      <c r="B2" s="15" t="s">
        <v>647</v>
      </c>
    </row>
    <row r="3" spans="2:22" hidden="1" x14ac:dyDescent="0.35">
      <c r="E3" s="55">
        <f>Inputs!$C$17+0</f>
        <v>2019</v>
      </c>
      <c r="F3" s="55">
        <f>Inputs!$C$17+1</f>
        <v>2020</v>
      </c>
      <c r="G3" s="55">
        <f>Inputs!$C$17+2</f>
        <v>2021</v>
      </c>
      <c r="H3" s="55">
        <f>Inputs!$C$17+3</f>
        <v>2022</v>
      </c>
      <c r="I3" s="55">
        <f>Inputs!$C$17+4</f>
        <v>2023</v>
      </c>
      <c r="J3" s="55">
        <f>Inputs!$C$17+5</f>
        <v>2024</v>
      </c>
      <c r="K3" s="55">
        <f>Inputs!$C$17+6</f>
        <v>2025</v>
      </c>
      <c r="L3" s="55">
        <f>Inputs!$C$19+0</f>
        <v>2026</v>
      </c>
      <c r="M3" s="55">
        <f>Inputs!$C$19+1</f>
        <v>2027</v>
      </c>
      <c r="N3" s="55">
        <f>Inputs!$C$19+2</f>
        <v>2028</v>
      </c>
      <c r="O3" s="55">
        <f>Inputs!$C$19+3</f>
        <v>2029</v>
      </c>
      <c r="P3" s="55">
        <f>Inputs!$C$19+4</f>
        <v>2030</v>
      </c>
      <c r="Q3" s="55">
        <f>Inputs!$C$19+5</f>
        <v>2031</v>
      </c>
      <c r="R3" s="55">
        <f>Inputs!$C$19+6</f>
        <v>2032</v>
      </c>
      <c r="S3" s="55">
        <f>Inputs!$C$19+7</f>
        <v>2033</v>
      </c>
    </row>
    <row r="4" spans="2:22" x14ac:dyDescent="0.35">
      <c r="E4" s="254" t="s">
        <v>262</v>
      </c>
      <c r="F4" s="255"/>
      <c r="G4" s="255"/>
      <c r="H4" s="255"/>
      <c r="I4" s="255"/>
      <c r="J4" s="255"/>
      <c r="K4" s="255"/>
      <c r="L4" s="254" t="s">
        <v>355</v>
      </c>
      <c r="M4" s="255"/>
      <c r="N4" s="255"/>
      <c r="O4" s="255"/>
      <c r="P4" s="255"/>
      <c r="Q4" s="255"/>
      <c r="R4" s="255"/>
      <c r="S4" s="255"/>
      <c r="T4" s="56" t="s">
        <v>648</v>
      </c>
    </row>
    <row r="5" spans="2:22"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c r="L5" s="75" t="str">
        <f t="shared" ref="L5:S5" si="1">L3&amp;"E"</f>
        <v>2026E</v>
      </c>
      <c r="M5" s="75" t="str">
        <f t="shared" si="1"/>
        <v>2027E</v>
      </c>
      <c r="N5" s="75" t="str">
        <f t="shared" si="1"/>
        <v>2028E</v>
      </c>
      <c r="O5" s="75" t="str">
        <f t="shared" si="1"/>
        <v>2029E</v>
      </c>
      <c r="P5" s="75" t="str">
        <f t="shared" si="1"/>
        <v>2030E</v>
      </c>
      <c r="Q5" s="75" t="str">
        <f t="shared" si="1"/>
        <v>2031E</v>
      </c>
      <c r="R5" s="75" t="str">
        <f t="shared" si="1"/>
        <v>2032E</v>
      </c>
      <c r="S5" s="75" t="str">
        <f t="shared" si="1"/>
        <v>2033E</v>
      </c>
      <c r="T5" s="57" t="s">
        <v>649</v>
      </c>
      <c r="V5" s="9" t="s">
        <v>357</v>
      </c>
    </row>
    <row r="6" spans="2:22" ht="5" customHeight="1" x14ac:dyDescent="0.35"/>
    <row r="7" spans="2:22" ht="14.5" customHeight="1" x14ac:dyDescent="0.35">
      <c r="B7" s="9" t="s">
        <v>650</v>
      </c>
      <c r="C7" s="9"/>
      <c r="D7" s="9"/>
      <c r="E7" s="9"/>
      <c r="F7" s="9"/>
      <c r="G7" s="9"/>
      <c r="H7" s="9"/>
      <c r="I7" s="9"/>
      <c r="J7" s="9"/>
      <c r="K7" s="9"/>
      <c r="L7" s="9"/>
      <c r="M7" s="9"/>
      <c r="N7" s="9"/>
      <c r="O7" s="9"/>
      <c r="P7" s="9"/>
      <c r="Q7" s="9"/>
      <c r="R7" s="9"/>
      <c r="S7" s="9"/>
      <c r="T7" s="9"/>
    </row>
    <row r="8" spans="2:22" ht="5" customHeight="1" x14ac:dyDescent="0.35"/>
    <row r="9" spans="2:22" x14ac:dyDescent="0.35">
      <c r="B9" s="128" t="s">
        <v>45</v>
      </c>
      <c r="C9" s="129"/>
      <c r="D9" s="129"/>
      <c r="E9" s="130">
        <f>WACC!$C$34</f>
        <v>8.9875829156050191E-2</v>
      </c>
    </row>
    <row r="10" spans="2:22" x14ac:dyDescent="0.35">
      <c r="B10" s="131" t="s">
        <v>651</v>
      </c>
      <c r="C10" s="132"/>
      <c r="D10" s="132"/>
      <c r="E10" s="133">
        <f>Drivers!$H$91</f>
        <v>0.02</v>
      </c>
    </row>
    <row r="11" spans="2:22" x14ac:dyDescent="0.35">
      <c r="B11" s="131" t="s">
        <v>415</v>
      </c>
      <c r="C11" s="132"/>
      <c r="D11" s="132"/>
      <c r="E11" s="134">
        <f>Drivers!$H$93</f>
        <v>0.12</v>
      </c>
    </row>
    <row r="12" spans="2:22" x14ac:dyDescent="0.35">
      <c r="B12" s="131" t="s">
        <v>417</v>
      </c>
      <c r="C12" s="132"/>
      <c r="D12" s="132"/>
      <c r="E12" s="134">
        <f>Drivers!$H$94</f>
        <v>0.22</v>
      </c>
    </row>
    <row r="13" spans="2:22" x14ac:dyDescent="0.35">
      <c r="B13" s="131" t="s">
        <v>179</v>
      </c>
      <c r="C13" s="132"/>
      <c r="D13" s="132"/>
      <c r="E13" s="135">
        <f>Inputs!$C$21</f>
        <v>46281</v>
      </c>
    </row>
    <row r="14" spans="2:22" x14ac:dyDescent="0.35">
      <c r="B14" s="131" t="s">
        <v>652</v>
      </c>
      <c r="C14" s="132"/>
      <c r="D14" s="132"/>
      <c r="E14" s="134">
        <f>Inputs!$C$23</f>
        <v>0.29041095890410956</v>
      </c>
    </row>
    <row r="15" spans="2:22" x14ac:dyDescent="0.35">
      <c r="B15" s="131" t="s">
        <v>653</v>
      </c>
      <c r="C15" s="132"/>
      <c r="D15" s="132"/>
      <c r="E15" s="136" t="str">
        <f>IF(Inputs!$C$55=1,"On","Off")</f>
        <v>On</v>
      </c>
    </row>
    <row r="16" spans="2:22" x14ac:dyDescent="0.35">
      <c r="B16" s="131" t="s">
        <v>218</v>
      </c>
      <c r="C16" s="132"/>
      <c r="D16" s="132"/>
      <c r="E16" s="137" t="str">
        <f>Inputs!$C$53</f>
        <v>Base</v>
      </c>
    </row>
    <row r="17" spans="2:20" x14ac:dyDescent="0.35">
      <c r="B17" s="131" t="s">
        <v>654</v>
      </c>
      <c r="C17" s="132"/>
      <c r="D17" s="132"/>
      <c r="E17" s="136" t="str">
        <f>IF(Inputs!$C$72=2,"Locations: like-for-like + new","Segments: volume x price")</f>
        <v>Locations: like-for-like + new</v>
      </c>
    </row>
    <row r="18" spans="2:20" x14ac:dyDescent="0.35">
      <c r="B18" s="131" t="s">
        <v>655</v>
      </c>
      <c r="C18" s="132"/>
      <c r="D18" s="132"/>
      <c r="E18" s="136" t="str">
        <f>IF(Inputs!$C$72=2,"NOK "&amp;FIXED(Drivers!L79,1)&amp;"m per new location","Sales-to-capital "&amp;FIXED(Drivers!L78,1)&amp;"x")</f>
        <v>NOK 22,0m per new location</v>
      </c>
    </row>
    <row r="19" spans="2:20" x14ac:dyDescent="0.35">
      <c r="B19" s="138" t="s">
        <v>656</v>
      </c>
      <c r="C19" s="139"/>
      <c r="D19" s="139"/>
      <c r="E19" s="140" t="str">
        <f>IF(WACC!$C$26=1,"Target","Modelled")&amp;" D/(D+E) "&amp;FIXED(WACC!$C$29*100,0)&amp;"%"</f>
        <v>Target D/(D+E) 10%</v>
      </c>
    </row>
    <row r="21" spans="2:20" ht="14.5" customHeight="1" x14ac:dyDescent="0.35">
      <c r="B21" s="9" t="s">
        <v>657</v>
      </c>
      <c r="C21" s="9"/>
      <c r="D21" s="9"/>
      <c r="E21" s="9"/>
      <c r="F21" s="9"/>
      <c r="G21" s="9"/>
      <c r="H21" s="9"/>
      <c r="I21" s="9"/>
      <c r="J21" s="9"/>
      <c r="K21" s="9"/>
      <c r="L21" s="9"/>
      <c r="M21" s="9"/>
      <c r="N21" s="9"/>
      <c r="O21" s="9"/>
      <c r="P21" s="9"/>
      <c r="Q21" s="9"/>
      <c r="R21" s="9"/>
      <c r="S21" s="9"/>
      <c r="T21" s="9"/>
    </row>
    <row r="22" spans="2:20" ht="5" customHeight="1" x14ac:dyDescent="0.35"/>
    <row r="23" spans="2:20" x14ac:dyDescent="0.35">
      <c r="B23" s="40" t="s">
        <v>264</v>
      </c>
      <c r="C23" s="59" t="s">
        <v>167</v>
      </c>
      <c r="E23" s="80">
        <f>Model!E67</f>
        <v>3790</v>
      </c>
      <c r="F23" s="80">
        <f>Model!F67</f>
        <v>3468</v>
      </c>
      <c r="G23" s="80">
        <f>Model!G67</f>
        <v>3668</v>
      </c>
      <c r="H23" s="80">
        <f>Model!H67</f>
        <v>4262</v>
      </c>
      <c r="I23" s="80">
        <f>Model!I67</f>
        <v>4687</v>
      </c>
      <c r="J23" s="80">
        <f>Model!J67</f>
        <v>5045</v>
      </c>
      <c r="K23" s="80">
        <f>Model!K67</f>
        <v>5433</v>
      </c>
      <c r="L23" s="80">
        <f>Model!L67</f>
        <v>5726.4479591482213</v>
      </c>
      <c r="M23" s="80">
        <f>Model!M67</f>
        <v>6083.8427205928429</v>
      </c>
      <c r="N23" s="80">
        <f>Model!N67</f>
        <v>6479.0281577074584</v>
      </c>
      <c r="O23" s="80">
        <f>Model!O67</f>
        <v>6875.8850742664126</v>
      </c>
      <c r="P23" s="80">
        <f>Model!P67</f>
        <v>7257.9391223272778</v>
      </c>
      <c r="Q23" s="80">
        <f>Model!Q67</f>
        <v>7613.3094600678996</v>
      </c>
      <c r="R23" s="80">
        <f>Model!R67</f>
        <v>7938.8226047651588</v>
      </c>
      <c r="S23" s="80">
        <f>Model!S67</f>
        <v>8244.1745141924257</v>
      </c>
      <c r="T23" s="141">
        <f>S23*(1+$E$52)</f>
        <v>8409.0580044762737</v>
      </c>
    </row>
    <row r="24" spans="2:20" x14ac:dyDescent="0.35">
      <c r="B24" s="65" t="s">
        <v>322</v>
      </c>
      <c r="C24" s="59" t="s">
        <v>323</v>
      </c>
      <c r="F24" s="69">
        <f t="shared" ref="F24:T24" si="2">F23/E23-1</f>
        <v>-8.4960422163588345E-2</v>
      </c>
      <c r="G24" s="69">
        <f t="shared" si="2"/>
        <v>5.7670126874279193E-2</v>
      </c>
      <c r="H24" s="69">
        <f t="shared" si="2"/>
        <v>0.16194111232279162</v>
      </c>
      <c r="I24" s="69">
        <f t="shared" si="2"/>
        <v>9.9718442045987787E-2</v>
      </c>
      <c r="J24" s="69">
        <f t="shared" si="2"/>
        <v>7.6381480691273707E-2</v>
      </c>
      <c r="K24" s="69">
        <f t="shared" si="2"/>
        <v>7.6907829534192285E-2</v>
      </c>
      <c r="L24" s="69">
        <f t="shared" si="2"/>
        <v>5.4012140465345304E-2</v>
      </c>
      <c r="M24" s="69">
        <f t="shared" si="2"/>
        <v>6.2411247599599706E-2</v>
      </c>
      <c r="N24" s="69">
        <f t="shared" si="2"/>
        <v>6.4956550532934587E-2</v>
      </c>
      <c r="O24" s="69">
        <f t="shared" si="2"/>
        <v>6.1252537710744903E-2</v>
      </c>
      <c r="P24" s="69">
        <f t="shared" si="2"/>
        <v>5.5564344652986541E-2</v>
      </c>
      <c r="Q24" s="69">
        <f t="shared" si="2"/>
        <v>4.8962981329977229E-2</v>
      </c>
      <c r="R24" s="69">
        <f t="shared" si="2"/>
        <v>4.2755801061888699E-2</v>
      </c>
      <c r="S24" s="69">
        <f t="shared" si="2"/>
        <v>3.846312288726339E-2</v>
      </c>
      <c r="T24" s="142">
        <f t="shared" si="2"/>
        <v>2.0000000000000018E-2</v>
      </c>
    </row>
    <row r="25" spans="2:20" x14ac:dyDescent="0.35">
      <c r="B25" s="40" t="s">
        <v>536</v>
      </c>
      <c r="C25" s="59" t="s">
        <v>167</v>
      </c>
      <c r="E25" s="80">
        <f>Model!E82</f>
        <v>731.49999999999966</v>
      </c>
      <c r="F25" s="80">
        <f>Model!F82</f>
        <v>513.29999999999995</v>
      </c>
      <c r="G25" s="80">
        <f>Model!G82</f>
        <v>623.5</v>
      </c>
      <c r="H25" s="80">
        <f>Model!H82</f>
        <v>775.69999999999982</v>
      </c>
      <c r="I25" s="80">
        <f>Model!I82</f>
        <v>923.29999999999973</v>
      </c>
      <c r="J25" s="80">
        <f>Model!J82</f>
        <v>1054.4000000000001</v>
      </c>
      <c r="K25" s="80">
        <f>Model!K82</f>
        <v>1189.8</v>
      </c>
      <c r="L25" s="80">
        <f>Model!L82</f>
        <v>1251.5598149672273</v>
      </c>
      <c r="M25" s="80">
        <f>Model!M82</f>
        <v>1342.870240129409</v>
      </c>
      <c r="N25" s="80">
        <f>Model!N82</f>
        <v>1452.780307876571</v>
      </c>
      <c r="O25" s="80">
        <f>Model!O82</f>
        <v>1563.6614432926885</v>
      </c>
      <c r="P25" s="80">
        <f>Model!P82</f>
        <v>1670.7100019255631</v>
      </c>
      <c r="Q25" s="80">
        <f>Model!Q82</f>
        <v>1768.4399263025716</v>
      </c>
      <c r="R25" s="80">
        <f>Model!R82</f>
        <v>1855.6380425880745</v>
      </c>
      <c r="S25" s="80">
        <f>Model!S82</f>
        <v>1934.0491014228853</v>
      </c>
    </row>
    <row r="26" spans="2:20" x14ac:dyDescent="0.35">
      <c r="B26" s="65" t="s">
        <v>331</v>
      </c>
      <c r="C26" s="59" t="s">
        <v>323</v>
      </c>
      <c r="E26" s="69">
        <f t="shared" ref="E26:S26" si="3">E25/E23</f>
        <v>0.19300791556728222</v>
      </c>
      <c r="F26" s="69">
        <f t="shared" si="3"/>
        <v>0.14801038062283736</v>
      </c>
      <c r="G26" s="69">
        <f t="shared" si="3"/>
        <v>0.16998364231188659</v>
      </c>
      <c r="H26" s="69">
        <f t="shared" si="3"/>
        <v>0.18200375410605346</v>
      </c>
      <c r="I26" s="69">
        <f t="shared" si="3"/>
        <v>0.19699167911243859</v>
      </c>
      <c r="J26" s="69">
        <f t="shared" si="3"/>
        <v>0.20899900891972251</v>
      </c>
      <c r="K26" s="69">
        <f t="shared" si="3"/>
        <v>0.21899503036996135</v>
      </c>
      <c r="L26" s="69">
        <f t="shared" si="3"/>
        <v>0.21855779077985199</v>
      </c>
      <c r="M26" s="69">
        <f t="shared" si="3"/>
        <v>0.22072731032049961</v>
      </c>
      <c r="N26" s="69">
        <f t="shared" si="3"/>
        <v>0.22422812071720077</v>
      </c>
      <c r="O26" s="69">
        <f t="shared" si="3"/>
        <v>0.22741238784586804</v>
      </c>
      <c r="P26" s="69">
        <f t="shared" si="3"/>
        <v>0.23019068826108388</v>
      </c>
      <c r="Q26" s="69">
        <f t="shared" si="3"/>
        <v>0.23228268016400844</v>
      </c>
      <c r="R26" s="69">
        <f t="shared" si="3"/>
        <v>0.23374222286743826</v>
      </c>
      <c r="S26" s="69">
        <f t="shared" si="3"/>
        <v>0.23459584681200055</v>
      </c>
    </row>
    <row r="27" spans="2:20" x14ac:dyDescent="0.35">
      <c r="B27" s="40" t="s">
        <v>270</v>
      </c>
      <c r="C27" s="59" t="s">
        <v>167</v>
      </c>
      <c r="E27" s="80">
        <f>Model!E84</f>
        <v>-174.3</v>
      </c>
      <c r="F27" s="80">
        <f>Model!F84</f>
        <v>-176.9</v>
      </c>
      <c r="G27" s="80">
        <f>Model!G84</f>
        <v>-179.7</v>
      </c>
      <c r="H27" s="80">
        <f>Model!H84</f>
        <v>-196.1</v>
      </c>
      <c r="I27" s="80">
        <f>Model!I84</f>
        <v>-210.9</v>
      </c>
      <c r="J27" s="80">
        <f>Model!J84</f>
        <v>-227</v>
      </c>
      <c r="K27" s="80">
        <f>Model!K84</f>
        <v>-239.1</v>
      </c>
      <c r="L27" s="80">
        <f>Model!L84</f>
        <v>-251.96371020252172</v>
      </c>
      <c r="M27" s="80">
        <f>Model!M84</f>
        <v>-267.68907970608507</v>
      </c>
      <c r="N27" s="80">
        <f>Model!N84</f>
        <v>-285.07723893912816</v>
      </c>
      <c r="O27" s="80">
        <f>Model!O84</f>
        <v>-302.53894326772212</v>
      </c>
      <c r="P27" s="80">
        <f>Model!P84</f>
        <v>-319.34932138240021</v>
      </c>
      <c r="Q27" s="80">
        <f>Model!Q84</f>
        <v>-334.98561624298759</v>
      </c>
      <c r="R27" s="80">
        <f>Model!R84</f>
        <v>-349.30819460966694</v>
      </c>
      <c r="S27" s="80">
        <f>Model!S84</f>
        <v>-362.74367862446672</v>
      </c>
    </row>
    <row r="28" spans="2:20" x14ac:dyDescent="0.35">
      <c r="B28" s="61" t="s">
        <v>658</v>
      </c>
      <c r="C28" s="62" t="s">
        <v>167</v>
      </c>
      <c r="D28" s="63"/>
      <c r="E28" s="102">
        <f>Model!E85</f>
        <v>557.19999999999959</v>
      </c>
      <c r="F28" s="102">
        <f>Model!F85</f>
        <v>336.4</v>
      </c>
      <c r="G28" s="102">
        <f>Model!G85</f>
        <v>443.8</v>
      </c>
      <c r="H28" s="102">
        <f>Model!H85</f>
        <v>579.5999999999998</v>
      </c>
      <c r="I28" s="102">
        <f>Model!I85</f>
        <v>712.39999999999975</v>
      </c>
      <c r="J28" s="102">
        <f>Model!J85</f>
        <v>827.40000000000009</v>
      </c>
      <c r="K28" s="102">
        <f>Model!K85</f>
        <v>950.69999999999993</v>
      </c>
      <c r="L28" s="102">
        <f>Model!L85</f>
        <v>999.59610476470561</v>
      </c>
      <c r="M28" s="102">
        <f>Model!M85</f>
        <v>1075.1811604233239</v>
      </c>
      <c r="N28" s="102">
        <f>Model!N85</f>
        <v>1167.7030689374428</v>
      </c>
      <c r="O28" s="102">
        <f>Model!O85</f>
        <v>1261.1225000249665</v>
      </c>
      <c r="P28" s="102">
        <f>Model!P85</f>
        <v>1351.360680543163</v>
      </c>
      <c r="Q28" s="102">
        <f>Model!Q85</f>
        <v>1433.454310059584</v>
      </c>
      <c r="R28" s="102">
        <f>Model!R85</f>
        <v>1506.3298479784075</v>
      </c>
      <c r="S28" s="102">
        <f>Model!S85</f>
        <v>1571.3054227984185</v>
      </c>
      <c r="T28" s="143">
        <f>T23*T29</f>
        <v>1602.7315312543867</v>
      </c>
    </row>
    <row r="29" spans="2:20" x14ac:dyDescent="0.35">
      <c r="B29" s="65" t="s">
        <v>333</v>
      </c>
      <c r="C29" s="59" t="s">
        <v>323</v>
      </c>
      <c r="E29" s="69">
        <f t="shared" ref="E29:S29" si="4">E28/E23</f>
        <v>0.14701846965699197</v>
      </c>
      <c r="F29" s="69">
        <f t="shared" si="4"/>
        <v>9.7001153402537482E-2</v>
      </c>
      <c r="G29" s="69">
        <f t="shared" si="4"/>
        <v>0.12099236641221374</v>
      </c>
      <c r="H29" s="69">
        <f t="shared" si="4"/>
        <v>0.13599249178789297</v>
      </c>
      <c r="I29" s="69">
        <f t="shared" si="4"/>
        <v>0.15199487945380835</v>
      </c>
      <c r="J29" s="69">
        <f t="shared" si="4"/>
        <v>0.16400396432111003</v>
      </c>
      <c r="K29" s="69">
        <f t="shared" si="4"/>
        <v>0.17498619547211483</v>
      </c>
      <c r="L29" s="69">
        <f t="shared" si="4"/>
        <v>0.17455779077985198</v>
      </c>
      <c r="M29" s="69">
        <f t="shared" si="4"/>
        <v>0.1767273103204996</v>
      </c>
      <c r="N29" s="69">
        <f t="shared" si="4"/>
        <v>0.18022812071720079</v>
      </c>
      <c r="O29" s="69">
        <f t="shared" si="4"/>
        <v>0.18341238784586805</v>
      </c>
      <c r="P29" s="69">
        <f t="shared" si="4"/>
        <v>0.1861906882610839</v>
      </c>
      <c r="Q29" s="69">
        <f t="shared" si="4"/>
        <v>0.18828268016400843</v>
      </c>
      <c r="R29" s="69">
        <f t="shared" si="4"/>
        <v>0.18974222286743828</v>
      </c>
      <c r="S29" s="69">
        <f t="shared" si="4"/>
        <v>0.19059584681200054</v>
      </c>
      <c r="T29" s="144">
        <f>Drivers!$H$92</f>
        <v>0.19059584681200054</v>
      </c>
    </row>
    <row r="30" spans="2:20" x14ac:dyDescent="0.35">
      <c r="B30" s="40" t="s">
        <v>659</v>
      </c>
      <c r="C30" s="59" t="s">
        <v>167</v>
      </c>
      <c r="E30" s="49">
        <f>-E28*Inputs!$C$77</f>
        <v>-122.5839999999999</v>
      </c>
      <c r="F30" s="49">
        <f>-F28*Inputs!$C$77</f>
        <v>-74.007999999999996</v>
      </c>
      <c r="G30" s="49">
        <f>-G28*Inputs!$C$77</f>
        <v>-97.63600000000001</v>
      </c>
      <c r="H30" s="49">
        <f>-H28*Inputs!$C$77</f>
        <v>-127.51199999999996</v>
      </c>
      <c r="I30" s="49">
        <f>-I28*Inputs!$C$77</f>
        <v>-156.72799999999995</v>
      </c>
      <c r="J30" s="49">
        <f>-J28*Inputs!$C$77</f>
        <v>-182.02800000000002</v>
      </c>
      <c r="K30" s="49">
        <f>-K28*Inputs!$C$77</f>
        <v>-209.154</v>
      </c>
      <c r="L30" s="49">
        <f>-L28*Drivers!L81</f>
        <v>-219.91114304823523</v>
      </c>
      <c r="M30" s="49">
        <f>-M28*Drivers!M81</f>
        <v>-236.53985529313127</v>
      </c>
      <c r="N30" s="49">
        <f>-N28*Drivers!N81</f>
        <v>-256.89467516623745</v>
      </c>
      <c r="O30" s="49">
        <f>-O28*Drivers!O81</f>
        <v>-277.44695000549262</v>
      </c>
      <c r="P30" s="49">
        <f>-P28*Drivers!P81</f>
        <v>-297.29934971949586</v>
      </c>
      <c r="Q30" s="49">
        <f>-Q28*Drivers!Q81</f>
        <v>-315.35994821310851</v>
      </c>
      <c r="R30" s="49">
        <f>-R28*Drivers!R81</f>
        <v>-331.39256655524969</v>
      </c>
      <c r="S30" s="49">
        <f>-S28*Drivers!S81</f>
        <v>-345.68719301565204</v>
      </c>
      <c r="T30" s="141">
        <f>-T28*Drivers!$H$94</f>
        <v>-352.60093687596509</v>
      </c>
    </row>
    <row r="31" spans="2:20" x14ac:dyDescent="0.35">
      <c r="B31" s="61" t="s">
        <v>660</v>
      </c>
      <c r="C31" s="62" t="s">
        <v>167</v>
      </c>
      <c r="D31" s="63"/>
      <c r="E31" s="64">
        <f t="shared" ref="E31:T31" si="5">E28+E30</f>
        <v>434.6159999999997</v>
      </c>
      <c r="F31" s="64">
        <f t="shared" si="5"/>
        <v>262.392</v>
      </c>
      <c r="G31" s="64">
        <f t="shared" si="5"/>
        <v>346.16399999999999</v>
      </c>
      <c r="H31" s="64">
        <f t="shared" si="5"/>
        <v>452.08799999999985</v>
      </c>
      <c r="I31" s="64">
        <f t="shared" si="5"/>
        <v>555.6719999999998</v>
      </c>
      <c r="J31" s="64">
        <f t="shared" si="5"/>
        <v>645.37200000000007</v>
      </c>
      <c r="K31" s="64">
        <f t="shared" si="5"/>
        <v>741.54599999999994</v>
      </c>
      <c r="L31" s="64">
        <f t="shared" si="5"/>
        <v>779.68496171647041</v>
      </c>
      <c r="M31" s="64">
        <f t="shared" si="5"/>
        <v>838.64130513019268</v>
      </c>
      <c r="N31" s="64">
        <f t="shared" si="5"/>
        <v>910.80839377120537</v>
      </c>
      <c r="O31" s="64">
        <f t="shared" si="5"/>
        <v>983.6755500194738</v>
      </c>
      <c r="P31" s="64">
        <f t="shared" si="5"/>
        <v>1054.061330823667</v>
      </c>
      <c r="Q31" s="64">
        <f t="shared" si="5"/>
        <v>1118.0943618464755</v>
      </c>
      <c r="R31" s="64">
        <f t="shared" si="5"/>
        <v>1174.9372814231579</v>
      </c>
      <c r="S31" s="64">
        <f t="shared" si="5"/>
        <v>1225.6182297827663</v>
      </c>
      <c r="T31" s="143">
        <f t="shared" si="5"/>
        <v>1250.1305943784216</v>
      </c>
    </row>
    <row r="32" spans="2:20" x14ac:dyDescent="0.35">
      <c r="B32" s="40" t="s">
        <v>661</v>
      </c>
      <c r="C32" s="59" t="s">
        <v>167</v>
      </c>
      <c r="E32" s="49">
        <f t="shared" ref="E32:S32" si="6">-E27</f>
        <v>174.3</v>
      </c>
      <c r="F32" s="49">
        <f t="shared" si="6"/>
        <v>176.9</v>
      </c>
      <c r="G32" s="49">
        <f t="shared" si="6"/>
        <v>179.7</v>
      </c>
      <c r="H32" s="49">
        <f t="shared" si="6"/>
        <v>196.1</v>
      </c>
      <c r="I32" s="49">
        <f t="shared" si="6"/>
        <v>210.9</v>
      </c>
      <c r="J32" s="49">
        <f t="shared" si="6"/>
        <v>227</v>
      </c>
      <c r="K32" s="49">
        <f t="shared" si="6"/>
        <v>239.1</v>
      </c>
      <c r="L32" s="49">
        <f t="shared" si="6"/>
        <v>251.96371020252172</v>
      </c>
      <c r="M32" s="49">
        <f t="shared" si="6"/>
        <v>267.68907970608507</v>
      </c>
      <c r="N32" s="49">
        <f t="shared" si="6"/>
        <v>285.07723893912816</v>
      </c>
      <c r="O32" s="49">
        <f t="shared" si="6"/>
        <v>302.53894326772212</v>
      </c>
      <c r="P32" s="49">
        <f t="shared" si="6"/>
        <v>319.34932138240021</v>
      </c>
      <c r="Q32" s="49">
        <f t="shared" si="6"/>
        <v>334.98561624298759</v>
      </c>
      <c r="R32" s="49">
        <f t="shared" si="6"/>
        <v>349.30819460966694</v>
      </c>
      <c r="S32" s="49">
        <f t="shared" si="6"/>
        <v>362.74367862446672</v>
      </c>
    </row>
    <row r="33" spans="2:22" x14ac:dyDescent="0.35">
      <c r="B33" s="40" t="s">
        <v>662</v>
      </c>
      <c r="C33" s="59" t="s">
        <v>167</v>
      </c>
      <c r="E33" s="80">
        <f>Model!E116</f>
        <v>-197.1</v>
      </c>
      <c r="F33" s="80">
        <f>Model!F116</f>
        <v>-124.8</v>
      </c>
      <c r="G33" s="80">
        <f>Model!G116</f>
        <v>-161.4</v>
      </c>
      <c r="H33" s="80">
        <f>Model!H116</f>
        <v>-238.7</v>
      </c>
      <c r="I33" s="80">
        <f>Model!I116</f>
        <v>-253.1</v>
      </c>
      <c r="J33" s="80">
        <f>Model!J116</f>
        <v>-257.3</v>
      </c>
      <c r="K33" s="80">
        <f>Model!K116</f>
        <v>-271.7</v>
      </c>
      <c r="L33" s="80">
        <f>Model!L116</f>
        <v>-440.32239795741106</v>
      </c>
      <c r="M33" s="80">
        <f>Model!M116</f>
        <v>-462.39213602964219</v>
      </c>
      <c r="N33" s="80">
        <f>Model!N116</f>
        <v>-485.65140788537292</v>
      </c>
      <c r="O33" s="80">
        <f>Model!O116</f>
        <v>-485.99425371332063</v>
      </c>
      <c r="P33" s="80">
        <f>Model!P116</f>
        <v>-484.39695611636392</v>
      </c>
      <c r="Q33" s="80">
        <f>Model!Q116</f>
        <v>-480.26547300339496</v>
      </c>
      <c r="R33" s="80">
        <f>Model!R116</f>
        <v>-473.44113023825798</v>
      </c>
      <c r="S33" s="80">
        <f>Model!S116</f>
        <v>-490.50872570962133</v>
      </c>
    </row>
    <row r="34" spans="2:22" x14ac:dyDescent="0.35">
      <c r="B34" s="40" t="s">
        <v>663</v>
      </c>
      <c r="C34" s="59" t="s">
        <v>167</v>
      </c>
      <c r="F34" s="49">
        <f>-Model!F113</f>
        <v>-47.100000000000023</v>
      </c>
      <c r="G34" s="49">
        <f>-Model!G113</f>
        <v>25.100000000000023</v>
      </c>
      <c r="H34" s="49">
        <f>-Model!H113</f>
        <v>54.600000000000023</v>
      </c>
      <c r="I34" s="49">
        <f>-Model!I113</f>
        <v>35.299999999999955</v>
      </c>
      <c r="J34" s="49">
        <f>-Model!J113</f>
        <v>27.600000000000023</v>
      </c>
      <c r="K34" s="49">
        <f>-Model!K113</f>
        <v>30.199999999999932</v>
      </c>
      <c r="L34" s="49">
        <f>-Model!L113</f>
        <v>19.119117344634446</v>
      </c>
      <c r="M34" s="49">
        <f>-Model!M113</f>
        <v>23.230659493900362</v>
      </c>
      <c r="N34" s="49">
        <f>-Model!N113</f>
        <v>25.687053412450041</v>
      </c>
      <c r="O34" s="49">
        <f>-Model!O113</f>
        <v>25.795699576332026</v>
      </c>
      <c r="P34" s="49">
        <f>-Model!P113</f>
        <v>24.833513123956209</v>
      </c>
      <c r="Q34" s="49">
        <f>-Model!Q113</f>
        <v>23.099071953140424</v>
      </c>
      <c r="R34" s="49">
        <f>-Model!R113</f>
        <v>21.158354405321859</v>
      </c>
      <c r="S34" s="49">
        <f>-Model!S113</f>
        <v>19.847874112772388</v>
      </c>
    </row>
    <row r="35" spans="2:22" x14ac:dyDescent="0.35">
      <c r="B35" s="103" t="s">
        <v>664</v>
      </c>
      <c r="C35" s="104" t="s">
        <v>167</v>
      </c>
      <c r="D35" s="105"/>
      <c r="E35" s="105"/>
      <c r="F35" s="106">
        <f t="shared" ref="F35:S35" si="7">F31+F32+F33+F34</f>
        <v>267.392</v>
      </c>
      <c r="G35" s="106">
        <f t="shared" si="7"/>
        <v>389.56400000000008</v>
      </c>
      <c r="H35" s="106">
        <f t="shared" si="7"/>
        <v>464.08799999999991</v>
      </c>
      <c r="I35" s="106">
        <f t="shared" si="7"/>
        <v>548.77199999999971</v>
      </c>
      <c r="J35" s="106">
        <f t="shared" si="7"/>
        <v>642.67200000000014</v>
      </c>
      <c r="K35" s="106">
        <f t="shared" si="7"/>
        <v>739.14599999999984</v>
      </c>
      <c r="L35" s="106">
        <f t="shared" si="7"/>
        <v>610.44539130621536</v>
      </c>
      <c r="M35" s="106">
        <f t="shared" si="7"/>
        <v>667.16890830053592</v>
      </c>
      <c r="N35" s="106">
        <f t="shared" si="7"/>
        <v>735.92127823741066</v>
      </c>
      <c r="O35" s="106">
        <f t="shared" si="7"/>
        <v>826.01593915020726</v>
      </c>
      <c r="P35" s="106">
        <f t="shared" si="7"/>
        <v>913.84720921365943</v>
      </c>
      <c r="Q35" s="106">
        <f t="shared" si="7"/>
        <v>995.91357703920858</v>
      </c>
      <c r="R35" s="106">
        <f t="shared" si="7"/>
        <v>1071.9627001998888</v>
      </c>
      <c r="S35" s="106">
        <f t="shared" si="7"/>
        <v>1117.701056810384</v>
      </c>
      <c r="T35" s="90">
        <f>$E$59</f>
        <v>1041.7754953153512</v>
      </c>
      <c r="V35" s="15" t="s">
        <v>665</v>
      </c>
    </row>
    <row r="36" spans="2:22" x14ac:dyDescent="0.35">
      <c r="B36" s="65" t="s">
        <v>666</v>
      </c>
      <c r="C36" s="59" t="s">
        <v>323</v>
      </c>
      <c r="G36" s="69">
        <f t="shared" ref="G36:S36" si="8">IF(F35&lt;=0,"n.m.",G35/F35-1)</f>
        <v>0.45690222594542873</v>
      </c>
      <c r="H36" s="69">
        <f t="shared" si="8"/>
        <v>0.19130104424433414</v>
      </c>
      <c r="I36" s="69">
        <f t="shared" si="8"/>
        <v>0.18247401354915405</v>
      </c>
      <c r="J36" s="69">
        <f t="shared" si="8"/>
        <v>0.17110931315737776</v>
      </c>
      <c r="K36" s="69">
        <f t="shared" si="8"/>
        <v>0.15011389946971354</v>
      </c>
      <c r="L36" s="69">
        <f t="shared" si="8"/>
        <v>-0.17412068616184695</v>
      </c>
      <c r="M36" s="69">
        <f t="shared" si="8"/>
        <v>9.2921525499512825E-2</v>
      </c>
      <c r="N36" s="69">
        <f t="shared" si="8"/>
        <v>0.10305092021150397</v>
      </c>
      <c r="O36" s="69">
        <f t="shared" si="8"/>
        <v>0.12242431843876078</v>
      </c>
      <c r="P36" s="69">
        <f t="shared" si="8"/>
        <v>0.10633120488426862</v>
      </c>
      <c r="Q36" s="69">
        <f t="shared" si="8"/>
        <v>8.9803160745180799E-2</v>
      </c>
      <c r="R36" s="69">
        <f t="shared" si="8"/>
        <v>7.6361167187588341E-2</v>
      </c>
      <c r="S36" s="69">
        <f t="shared" si="8"/>
        <v>4.2667862045914884E-2</v>
      </c>
    </row>
    <row r="37" spans="2:22" x14ac:dyDescent="0.35">
      <c r="B37" s="65" t="s">
        <v>505</v>
      </c>
      <c r="C37" s="59" t="s">
        <v>323</v>
      </c>
      <c r="F37" s="69">
        <f t="shared" ref="F37:S37" si="9">IF(F25=0,0,F35/F25)</f>
        <v>0.52092733294369764</v>
      </c>
      <c r="G37" s="69">
        <f t="shared" si="9"/>
        <v>0.6248019246190859</v>
      </c>
      <c r="H37" s="69">
        <f t="shared" si="9"/>
        <v>0.59828284130462805</v>
      </c>
      <c r="I37" s="69">
        <f t="shared" si="9"/>
        <v>0.59435936315390436</v>
      </c>
      <c r="J37" s="69">
        <f t="shared" si="9"/>
        <v>0.60951441578148713</v>
      </c>
      <c r="K37" s="69">
        <f t="shared" si="9"/>
        <v>0.62123550176500242</v>
      </c>
      <c r="L37" s="69">
        <f t="shared" si="9"/>
        <v>0.48774767614458775</v>
      </c>
      <c r="M37" s="69">
        <f t="shared" si="9"/>
        <v>0.49682306477820415</v>
      </c>
      <c r="N37" s="69">
        <f t="shared" si="9"/>
        <v>0.50656060950678505</v>
      </c>
      <c r="O37" s="69">
        <f t="shared" si="9"/>
        <v>0.5282575347070142</v>
      </c>
      <c r="P37" s="69">
        <f t="shared" si="9"/>
        <v>0.54698134814564603</v>
      </c>
      <c r="Q37" s="69">
        <f t="shared" si="9"/>
        <v>0.56315940520606211</v>
      </c>
      <c r="R37" s="69">
        <f t="shared" si="9"/>
        <v>0.57767876902588888</v>
      </c>
      <c r="S37" s="69">
        <f t="shared" si="9"/>
        <v>0.57790728063113195</v>
      </c>
    </row>
    <row r="38" spans="2:22" x14ac:dyDescent="0.35">
      <c r="B38" s="65" t="s">
        <v>667</v>
      </c>
      <c r="C38" s="59" t="s">
        <v>323</v>
      </c>
      <c r="F38" s="69">
        <f t="shared" ref="F38:S38" si="10">IF(F31=0,0,1-F35/F31)</f>
        <v>-1.9055459007896625E-2</v>
      </c>
      <c r="G38" s="69">
        <f t="shared" si="10"/>
        <v>-0.12537410013750727</v>
      </c>
      <c r="H38" s="69">
        <f t="shared" si="10"/>
        <v>-2.6543504804374507E-2</v>
      </c>
      <c r="I38" s="69">
        <f t="shared" si="10"/>
        <v>1.2417397313523204E-2</v>
      </c>
      <c r="J38" s="69">
        <f t="shared" si="10"/>
        <v>4.1836336252578654E-3</v>
      </c>
      <c r="K38" s="69">
        <f t="shared" si="10"/>
        <v>3.2364816208301228E-3</v>
      </c>
      <c r="L38" s="69">
        <f t="shared" si="10"/>
        <v>0.21706147831513312</v>
      </c>
      <c r="M38" s="69">
        <f t="shared" si="10"/>
        <v>0.20446452587144748</v>
      </c>
      <c r="N38" s="69">
        <f t="shared" si="10"/>
        <v>0.19201306963111531</v>
      </c>
      <c r="O38" s="69">
        <f t="shared" si="10"/>
        <v>0.16027602888589165</v>
      </c>
      <c r="P38" s="69">
        <f t="shared" si="10"/>
        <v>0.13302273549912047</v>
      </c>
      <c r="Q38" s="69">
        <f t="shared" si="10"/>
        <v>0.10927591532211256</v>
      </c>
      <c r="R38" s="69">
        <f t="shared" si="10"/>
        <v>8.7642619611610018E-2</v>
      </c>
      <c r="S38" s="69">
        <f t="shared" si="10"/>
        <v>8.8051213950619878E-2</v>
      </c>
      <c r="T38" s="142">
        <f>1-T35/T31</f>
        <v>0.16666666666666674</v>
      </c>
    </row>
    <row r="39" spans="2:22" x14ac:dyDescent="0.35">
      <c r="B39" s="65" t="s">
        <v>561</v>
      </c>
      <c r="C39" s="59" t="s">
        <v>323</v>
      </c>
      <c r="F39" s="145">
        <f>Model!F122</f>
        <v>9.9281849483521895E-2</v>
      </c>
      <c r="G39" s="145">
        <f>Model!G122</f>
        <v>0.13218925421010427</v>
      </c>
      <c r="H39" s="145">
        <f>Model!H122</f>
        <v>0.15114944834503505</v>
      </c>
      <c r="I39" s="145">
        <f>Model!I122</f>
        <v>0.1639900249376558</v>
      </c>
      <c r="J39" s="145">
        <f>Model!J122</f>
        <v>0.17836578456436125</v>
      </c>
      <c r="K39" s="145">
        <f>Model!K122</f>
        <v>0.19281969941234592</v>
      </c>
      <c r="L39" s="145">
        <f>Model!L122</f>
        <v>0.19831138419092867</v>
      </c>
      <c r="M39" s="145">
        <f>Model!M122</f>
        <v>0.20444813728638925</v>
      </c>
      <c r="N39" s="145">
        <f>Model!N122</f>
        <v>0.213046844364745</v>
      </c>
      <c r="O39" s="145">
        <f>Model!O122</f>
        <v>0.22147727111674773</v>
      </c>
      <c r="P39" s="145">
        <f>Model!P122</f>
        <v>0.22962469380621831</v>
      </c>
      <c r="Q39" s="145">
        <f>Model!Q122</f>
        <v>0.23680597138535464</v>
      </c>
      <c r="R39" s="145">
        <f>Model!R122</f>
        <v>0.24304986304605966</v>
      </c>
      <c r="S39" s="145">
        <f>Model!S122</f>
        <v>0.24812161166593905</v>
      </c>
    </row>
    <row r="40" spans="2:22" ht="8" customHeight="1" x14ac:dyDescent="0.35"/>
    <row r="41" spans="2:22" ht="14.5" customHeight="1" x14ac:dyDescent="0.35">
      <c r="B41" s="9" t="s">
        <v>668</v>
      </c>
      <c r="C41" s="9"/>
      <c r="D41" s="9"/>
      <c r="E41" s="9"/>
      <c r="F41" s="9"/>
      <c r="G41" s="9"/>
      <c r="H41" s="9"/>
      <c r="I41" s="9"/>
      <c r="J41" s="9"/>
      <c r="K41" s="9"/>
      <c r="L41" s="9"/>
      <c r="M41" s="9"/>
      <c r="N41" s="9"/>
      <c r="O41" s="9"/>
      <c r="P41" s="9"/>
      <c r="Q41" s="9"/>
      <c r="R41" s="9"/>
      <c r="S41" s="9"/>
      <c r="T41" s="9"/>
    </row>
    <row r="42" spans="2:22" ht="5" customHeight="1" x14ac:dyDescent="0.35"/>
    <row r="43" spans="2:22" x14ac:dyDescent="0.35">
      <c r="B43" s="40" t="s">
        <v>669</v>
      </c>
      <c r="C43" s="59" t="s">
        <v>315</v>
      </c>
      <c r="L43" s="43">
        <f t="shared" ref="L43:S43" si="11">COLUMN()-COLUMN($L$1)+1</f>
        <v>1</v>
      </c>
      <c r="M43" s="43">
        <f t="shared" si="11"/>
        <v>2</v>
      </c>
      <c r="N43" s="43">
        <f t="shared" si="11"/>
        <v>3</v>
      </c>
      <c r="O43" s="43">
        <f t="shared" si="11"/>
        <v>4</v>
      </c>
      <c r="P43" s="43">
        <f t="shared" si="11"/>
        <v>5</v>
      </c>
      <c r="Q43" s="43">
        <f t="shared" si="11"/>
        <v>6</v>
      </c>
      <c r="R43" s="43">
        <f t="shared" si="11"/>
        <v>7</v>
      </c>
      <c r="S43" s="43">
        <f t="shared" si="11"/>
        <v>8</v>
      </c>
    </row>
    <row r="44" spans="2:22" x14ac:dyDescent="0.35">
      <c r="B44" s="40" t="s">
        <v>670</v>
      </c>
      <c r="C44" s="59" t="s">
        <v>323</v>
      </c>
      <c r="L44" s="45">
        <f>IF(L43=1,Inputs!$C$23,1)</f>
        <v>0.29041095890410956</v>
      </c>
      <c r="M44" s="45">
        <f>IF(M43=1,Inputs!$C$23,1)</f>
        <v>1</v>
      </c>
      <c r="N44" s="45">
        <f>IF(N43=1,Inputs!$C$23,1)</f>
        <v>1</v>
      </c>
      <c r="O44" s="45">
        <f>IF(O43=1,Inputs!$C$23,1)</f>
        <v>1</v>
      </c>
      <c r="P44" s="45">
        <f>IF(P43=1,Inputs!$C$23,1)</f>
        <v>1</v>
      </c>
      <c r="Q44" s="45">
        <f>IF(Q43=1,Inputs!$C$23,1)</f>
        <v>1</v>
      </c>
      <c r="R44" s="45">
        <f>IF(R43=1,Inputs!$C$23,1)</f>
        <v>1</v>
      </c>
      <c r="S44" s="45">
        <f>IF(S43=1,Inputs!$C$23,1)</f>
        <v>1</v>
      </c>
    </row>
    <row r="45" spans="2:22" x14ac:dyDescent="0.35">
      <c r="B45" s="40" t="s">
        <v>671</v>
      </c>
      <c r="C45" s="59" t="s">
        <v>167</v>
      </c>
      <c r="L45" s="49">
        <f t="shared" ref="L45:S45" si="12">L35*L44</f>
        <v>177.28003144783239</v>
      </c>
      <c r="M45" s="49">
        <f t="shared" si="12"/>
        <v>667.16890830053592</v>
      </c>
      <c r="N45" s="49">
        <f t="shared" si="12"/>
        <v>735.92127823741066</v>
      </c>
      <c r="O45" s="49">
        <f t="shared" si="12"/>
        <v>826.01593915020726</v>
      </c>
      <c r="P45" s="49">
        <f t="shared" si="12"/>
        <v>913.84720921365943</v>
      </c>
      <c r="Q45" s="49">
        <f t="shared" si="12"/>
        <v>995.91357703920858</v>
      </c>
      <c r="R45" s="49">
        <f t="shared" si="12"/>
        <v>1071.9627001998888</v>
      </c>
      <c r="S45" s="49">
        <f t="shared" si="12"/>
        <v>1117.701056810384</v>
      </c>
    </row>
    <row r="46" spans="2:22" x14ac:dyDescent="0.35">
      <c r="B46" s="40" t="s">
        <v>672</v>
      </c>
      <c r="C46" s="59" t="s">
        <v>673</v>
      </c>
      <c r="L46" s="146">
        <f>IF(Inputs!$C$55=1,IF(L43=1,Inputs!$C$23/2,Inputs!$C$23+L43-1.5),Inputs!$C$23+L43-1)</f>
        <v>0.14520547945205478</v>
      </c>
      <c r="M46" s="146">
        <f>IF(Inputs!$C$55=1,IF(M43=1,Inputs!$C$23/2,Inputs!$C$23+M43-1.5),Inputs!$C$23+M43-1)</f>
        <v>0.79041095890410951</v>
      </c>
      <c r="N46" s="146">
        <f>IF(Inputs!$C$55=1,IF(N43=1,Inputs!$C$23/2,Inputs!$C$23+N43-1.5),Inputs!$C$23+N43-1)</f>
        <v>1.7904109589041095</v>
      </c>
      <c r="O46" s="146">
        <f>IF(Inputs!$C$55=1,IF(O43=1,Inputs!$C$23/2,Inputs!$C$23+O43-1.5),Inputs!$C$23+O43-1)</f>
        <v>2.7904109589041095</v>
      </c>
      <c r="P46" s="146">
        <f>IF(Inputs!$C$55=1,IF(P43=1,Inputs!$C$23/2,Inputs!$C$23+P43-1.5),Inputs!$C$23+P43-1)</f>
        <v>3.7904109589041095</v>
      </c>
      <c r="Q46" s="146">
        <f>IF(Inputs!$C$55=1,IF(Q43=1,Inputs!$C$23/2,Inputs!$C$23+Q43-1.5),Inputs!$C$23+Q43-1)</f>
        <v>4.7904109589041095</v>
      </c>
      <c r="R46" s="146">
        <f>IF(Inputs!$C$55=1,IF(R43=1,Inputs!$C$23/2,Inputs!$C$23+R43-1.5),Inputs!$C$23+R43-1)</f>
        <v>5.7904109589041095</v>
      </c>
      <c r="S46" s="146">
        <f>IF(Inputs!$C$55=1,IF(S43=1,Inputs!$C$23/2,Inputs!$C$23+S43-1.5),Inputs!$C$23+S43-1)</f>
        <v>6.7904109589041095</v>
      </c>
    </row>
    <row r="47" spans="2:22" x14ac:dyDescent="0.35">
      <c r="B47" s="40" t="s">
        <v>674</v>
      </c>
      <c r="C47" s="59"/>
      <c r="L47" s="120">
        <f>1/(1+WACC!$C$34)^L46</f>
        <v>0.98758083116657025</v>
      </c>
      <c r="M47" s="120">
        <f>1/(1+WACC!$C$34)^M46</f>
        <v>0.93423641836613192</v>
      </c>
      <c r="N47" s="120">
        <f>1/(1+WACC!$C$34)^N46</f>
        <v>0.85719528167677761</v>
      </c>
      <c r="O47" s="120">
        <f>1/(1+WACC!$C$34)^O46</f>
        <v>0.78650728711045026</v>
      </c>
      <c r="P47" s="120">
        <f>1/(1+WACC!$C$34)^P46</f>
        <v>0.72164852735516249</v>
      </c>
      <c r="Q47" s="120">
        <f>1/(1+WACC!$C$34)^Q46</f>
        <v>0.66213829873993435</v>
      </c>
      <c r="R47" s="120">
        <f>1/(1+WACC!$C$34)^R46</f>
        <v>0.60753553847750152</v>
      </c>
      <c r="S47" s="120">
        <f>1/(1+WACC!$C$34)^S46</f>
        <v>0.5574355557072489</v>
      </c>
    </row>
    <row r="48" spans="2:22" x14ac:dyDescent="0.35">
      <c r="B48" s="103" t="s">
        <v>675</v>
      </c>
      <c r="C48" s="104" t="s">
        <v>167</v>
      </c>
      <c r="D48" s="105"/>
      <c r="E48" s="105"/>
      <c r="F48" s="105"/>
      <c r="G48" s="105"/>
      <c r="H48" s="105"/>
      <c r="I48" s="105"/>
      <c r="J48" s="105"/>
      <c r="K48" s="105"/>
      <c r="L48" s="106">
        <f t="shared" ref="L48:S48" si="13">L45*L47</f>
        <v>175.07836080648602</v>
      </c>
      <c r="M48" s="106">
        <f t="shared" si="13"/>
        <v>623.29349133593496</v>
      </c>
      <c r="N48" s="106">
        <f t="shared" si="13"/>
        <v>630.82824739065143</v>
      </c>
      <c r="O48" s="106">
        <f t="shared" si="13"/>
        <v>649.66755541102032</v>
      </c>
      <c r="P48" s="106">
        <f t="shared" si="13"/>
        <v>659.47649275666242</v>
      </c>
      <c r="Q48" s="106">
        <f t="shared" si="13"/>
        <v>659.43252159274414</v>
      </c>
      <c r="R48" s="106">
        <f t="shared" si="13"/>
        <v>651.25543629373601</v>
      </c>
      <c r="S48" s="106">
        <f t="shared" si="13"/>
        <v>623.04630971767574</v>
      </c>
      <c r="T48" s="105"/>
    </row>
    <row r="50" spans="2:11" ht="14.5" customHeight="1" x14ac:dyDescent="0.35">
      <c r="B50" s="9" t="s">
        <v>676</v>
      </c>
      <c r="C50" s="9"/>
      <c r="D50" s="9"/>
      <c r="E50" s="9"/>
      <c r="F50" s="9"/>
      <c r="G50" s="9"/>
      <c r="H50" s="9"/>
      <c r="I50" s="9"/>
      <c r="J50" s="9"/>
      <c r="K50" s="9"/>
    </row>
    <row r="51" spans="2:11" ht="5" customHeight="1" x14ac:dyDescent="0.35"/>
    <row r="52" spans="2:11" x14ac:dyDescent="0.35">
      <c r="B52" s="40" t="s">
        <v>677</v>
      </c>
      <c r="E52" s="78">
        <f>Drivers!$H$91</f>
        <v>0.02</v>
      </c>
      <c r="G52" s="15"/>
    </row>
    <row r="53" spans="2:11" x14ac:dyDescent="0.35">
      <c r="B53" s="40" t="s">
        <v>45</v>
      </c>
      <c r="E53" s="78">
        <f>WACC!$C$34</f>
        <v>8.9875829156050191E-2</v>
      </c>
      <c r="G53" s="15"/>
    </row>
    <row r="54" spans="2:11" x14ac:dyDescent="0.35">
      <c r="B54" s="40" t="s">
        <v>678</v>
      </c>
      <c r="E54" s="49">
        <f>$T$31</f>
        <v>1250.1305943784216</v>
      </c>
      <c r="G54" s="15"/>
    </row>
    <row r="55" spans="2:11" x14ac:dyDescent="0.35">
      <c r="B55" s="40" t="s">
        <v>415</v>
      </c>
      <c r="E55" s="78">
        <f>Drivers!$H$93</f>
        <v>0.12</v>
      </c>
      <c r="G55" s="15"/>
    </row>
    <row r="56" spans="2:11" x14ac:dyDescent="0.35">
      <c r="B56" s="40" t="s">
        <v>679</v>
      </c>
      <c r="E56" s="49">
        <f>-$E$54*$E$52/$E$55</f>
        <v>-208.3550990630703</v>
      </c>
      <c r="G56" s="15"/>
    </row>
    <row r="57" spans="2:11" x14ac:dyDescent="0.35">
      <c r="B57" s="40" t="s">
        <v>680</v>
      </c>
      <c r="E57" s="49">
        <f>$E$54+$E$56</f>
        <v>1041.7754953153512</v>
      </c>
      <c r="G57" s="15"/>
    </row>
    <row r="58" spans="2:11" x14ac:dyDescent="0.35">
      <c r="B58" s="40" t="s">
        <v>681</v>
      </c>
      <c r="E58" s="49">
        <f>$S$35*(1+$E$52)</f>
        <v>1140.0550779465916</v>
      </c>
      <c r="G58" s="15"/>
    </row>
    <row r="59" spans="2:11" x14ac:dyDescent="0.35">
      <c r="B59" s="11" t="s">
        <v>682</v>
      </c>
      <c r="E59" s="51">
        <f>IF(Inputs!$C$58=1,$E$57,$E$58)</f>
        <v>1041.7754953153512</v>
      </c>
      <c r="G59" s="15"/>
    </row>
    <row r="60" spans="2:11" x14ac:dyDescent="0.35">
      <c r="B60" s="40" t="s">
        <v>683</v>
      </c>
      <c r="E60" s="49">
        <f>$E$59/($E$53-$E$52)</f>
        <v>14908.953609535083</v>
      </c>
      <c r="G60" s="15" t="s">
        <v>684</v>
      </c>
    </row>
    <row r="61" spans="2:11" x14ac:dyDescent="0.35">
      <c r="B61" s="40" t="s">
        <v>685</v>
      </c>
      <c r="E61" s="82">
        <f>Drivers!$H$95</f>
        <v>8.5</v>
      </c>
      <c r="G61" s="15"/>
    </row>
    <row r="62" spans="2:11" x14ac:dyDescent="0.35">
      <c r="B62" s="40" t="s">
        <v>686</v>
      </c>
      <c r="E62" s="49">
        <f>$S$25*$E$61</f>
        <v>16439.417362094526</v>
      </c>
      <c r="G62" s="15"/>
    </row>
    <row r="63" spans="2:11" x14ac:dyDescent="0.35">
      <c r="B63" s="40" t="s">
        <v>687</v>
      </c>
      <c r="E63" s="120">
        <f>$S$47</f>
        <v>0.5574355557072489</v>
      </c>
      <c r="G63" s="15" t="s">
        <v>688</v>
      </c>
    </row>
    <row r="64" spans="2:11" x14ac:dyDescent="0.35">
      <c r="B64" s="40" t="s">
        <v>689</v>
      </c>
      <c r="E64" s="120">
        <f>1/(1+$E$53)^(Inputs!$C$23+$S$43-1)</f>
        <v>0.53395684214210493</v>
      </c>
      <c r="G64" s="15"/>
    </row>
    <row r="65" spans="2:11" x14ac:dyDescent="0.35">
      <c r="B65" s="40" t="s">
        <v>690</v>
      </c>
      <c r="E65" s="49">
        <f>$E$60*$E$63</f>
        <v>8310.7808403447834</v>
      </c>
      <c r="G65" s="15"/>
    </row>
    <row r="66" spans="2:11" x14ac:dyDescent="0.35">
      <c r="B66" s="40" t="s">
        <v>691</v>
      </c>
      <c r="E66" s="49">
        <f>$E$62*$E$64</f>
        <v>8777.9393813200859</v>
      </c>
      <c r="G66" s="15"/>
    </row>
    <row r="67" spans="2:11" x14ac:dyDescent="0.35">
      <c r="B67" s="61" t="s">
        <v>692</v>
      </c>
      <c r="C67" s="63"/>
      <c r="D67" s="63"/>
      <c r="E67" s="147">
        <f>Inputs!$C$56*$E$65+Inputs!$C$57*$E$66</f>
        <v>8310.7808403447834</v>
      </c>
      <c r="G67" s="15"/>
    </row>
    <row r="68" spans="2:11" ht="8" customHeight="1" x14ac:dyDescent="0.35"/>
    <row r="69" spans="2:11" ht="14.5" customHeight="1" x14ac:dyDescent="0.35">
      <c r="B69" s="9" t="s">
        <v>693</v>
      </c>
      <c r="C69" s="9"/>
      <c r="D69" s="9"/>
      <c r="E69" s="9"/>
      <c r="F69" s="9"/>
      <c r="G69" s="9"/>
      <c r="H69" s="9"/>
      <c r="I69" s="9"/>
      <c r="J69" s="9"/>
      <c r="K69" s="9"/>
    </row>
    <row r="70" spans="2:11" ht="5" customHeight="1" x14ac:dyDescent="0.35"/>
    <row r="71" spans="2:11" x14ac:dyDescent="0.35">
      <c r="B71" s="40" t="s">
        <v>694</v>
      </c>
      <c r="E71" s="49">
        <f>SUM($L$48:$S$48)</f>
        <v>4672.0784153049117</v>
      </c>
      <c r="G71" s="15"/>
    </row>
    <row r="72" spans="2:11" x14ac:dyDescent="0.35">
      <c r="B72" s="40" t="s">
        <v>695</v>
      </c>
      <c r="E72" s="49">
        <f>$E$67</f>
        <v>8310.7808403447834</v>
      </c>
      <c r="G72" s="15"/>
    </row>
    <row r="73" spans="2:11" x14ac:dyDescent="0.35">
      <c r="B73" s="61" t="s">
        <v>696</v>
      </c>
      <c r="C73" s="63"/>
      <c r="D73" s="63"/>
      <c r="E73" s="147">
        <f>$E$71+$E$72</f>
        <v>12982.859255649695</v>
      </c>
      <c r="G73" s="15"/>
    </row>
    <row r="74" spans="2:11" x14ac:dyDescent="0.35">
      <c r="B74" s="65" t="s">
        <v>697</v>
      </c>
      <c r="E74" s="69">
        <f>$E$72/$E$73</f>
        <v>0.64013486372258221</v>
      </c>
      <c r="G74" s="15"/>
    </row>
    <row r="75" spans="2:11" x14ac:dyDescent="0.35">
      <c r="B75" s="40" t="s">
        <v>698</v>
      </c>
      <c r="E75" s="49">
        <f>-Inputs!$C$42</f>
        <v>-1025</v>
      </c>
      <c r="G75" s="15"/>
    </row>
    <row r="76" spans="2:11" x14ac:dyDescent="0.35">
      <c r="B76" s="40" t="s">
        <v>699</v>
      </c>
      <c r="E76" s="49">
        <f>-Inputs!$C$44</f>
        <v>-70</v>
      </c>
      <c r="G76" s="15"/>
    </row>
    <row r="77" spans="2:11" x14ac:dyDescent="0.35">
      <c r="B77" s="40" t="s">
        <v>700</v>
      </c>
      <c r="E77" s="80">
        <f>Inputs!$C$45</f>
        <v>40</v>
      </c>
      <c r="G77" s="15"/>
    </row>
    <row r="78" spans="2:11" x14ac:dyDescent="0.35">
      <c r="B78" s="40" t="s">
        <v>701</v>
      </c>
      <c r="E78" s="49">
        <f>-Inputs!$C$46</f>
        <v>-20</v>
      </c>
      <c r="G78" s="15"/>
    </row>
    <row r="79" spans="2:11" x14ac:dyDescent="0.35">
      <c r="B79" s="40" t="s">
        <v>702</v>
      </c>
      <c r="E79" s="80">
        <f>Inputs!$C$47</f>
        <v>0</v>
      </c>
      <c r="G79" s="15"/>
    </row>
    <row r="80" spans="2:11" x14ac:dyDescent="0.35">
      <c r="B80" s="61" t="s">
        <v>703</v>
      </c>
      <c r="C80" s="63"/>
      <c r="D80" s="63"/>
      <c r="E80" s="147">
        <f>$E$73+SUM($E$75:$E$79)</f>
        <v>11907.859255649695</v>
      </c>
      <c r="G80" s="15"/>
    </row>
    <row r="81" spans="2:11" x14ac:dyDescent="0.35">
      <c r="B81" s="15" t="s">
        <v>704</v>
      </c>
      <c r="E81" s="148">
        <f>Inputs!$C$43</f>
        <v>1805</v>
      </c>
      <c r="G81" s="15"/>
    </row>
    <row r="82" spans="2:11" x14ac:dyDescent="0.35">
      <c r="B82" s="40" t="s">
        <v>574</v>
      </c>
      <c r="E82" s="101">
        <f>Inputs!$C$31</f>
        <v>85.6</v>
      </c>
      <c r="G82" s="15"/>
    </row>
    <row r="83" spans="2:11" x14ac:dyDescent="0.35">
      <c r="B83" s="61" t="s">
        <v>705</v>
      </c>
      <c r="C83" s="63"/>
      <c r="D83" s="63"/>
      <c r="E83" s="149">
        <f>$E$80/$E$82</f>
        <v>139.11050532301047</v>
      </c>
      <c r="G83" s="15"/>
    </row>
    <row r="84" spans="2:11" x14ac:dyDescent="0.35">
      <c r="B84" s="40" t="s">
        <v>706</v>
      </c>
      <c r="E84" s="109">
        <f>Inputs!$C$27</f>
        <v>122</v>
      </c>
      <c r="G84" s="15"/>
    </row>
    <row r="85" spans="2:11" x14ac:dyDescent="0.35">
      <c r="B85" s="40" t="s">
        <v>707</v>
      </c>
      <c r="E85" s="45">
        <f>$E$83/$E$84-1</f>
        <v>0.14025004363123328</v>
      </c>
      <c r="G85" s="15"/>
    </row>
    <row r="86" spans="2:11" ht="8" customHeight="1" x14ac:dyDescent="0.35"/>
    <row r="87" spans="2:11" ht="14.5" customHeight="1" x14ac:dyDescent="0.35">
      <c r="B87" s="9" t="s">
        <v>708</v>
      </c>
      <c r="C87" s="9"/>
      <c r="D87" s="9"/>
      <c r="E87" s="9"/>
      <c r="F87" s="9"/>
      <c r="G87" s="9"/>
      <c r="H87" s="9"/>
      <c r="I87" s="9"/>
      <c r="J87" s="9"/>
      <c r="K87" s="9"/>
    </row>
    <row r="88" spans="2:11" ht="5" customHeight="1" x14ac:dyDescent="0.35"/>
    <row r="89" spans="2:11" x14ac:dyDescent="0.35">
      <c r="B89" s="40" t="s">
        <v>709</v>
      </c>
      <c r="E89" s="94">
        <f>$E$73/$L$25</f>
        <v>10.373343007972542</v>
      </c>
      <c r="G89" s="15"/>
    </row>
    <row r="90" spans="2:11" x14ac:dyDescent="0.35">
      <c r="B90" s="40" t="s">
        <v>710</v>
      </c>
      <c r="E90" s="94">
        <f>$E$73/$M$25</f>
        <v>9.6679923850263965</v>
      </c>
      <c r="G90" s="15"/>
    </row>
    <row r="91" spans="2:11" x14ac:dyDescent="0.35">
      <c r="B91" s="40" t="s">
        <v>711</v>
      </c>
      <c r="E91" s="94">
        <f>$E$60/$S$25</f>
        <v>7.7086737862893573</v>
      </c>
      <c r="G91" s="15" t="s">
        <v>712</v>
      </c>
    </row>
    <row r="92" spans="2:11" x14ac:dyDescent="0.35">
      <c r="B92" s="40" t="s">
        <v>713</v>
      </c>
      <c r="E92" s="45">
        <f>($E$62*$E$53-$S$35)/($E$62+$S$35)</f>
        <v>2.0493409047284368E-2</v>
      </c>
      <c r="G92" s="15"/>
    </row>
    <row r="93" spans="2:11" x14ac:dyDescent="0.35">
      <c r="B93" s="40" t="s">
        <v>714</v>
      </c>
      <c r="E93" s="45">
        <f>$E$54/Model!$S$119</f>
        <v>0.25034930208713541</v>
      </c>
      <c r="G93" s="15"/>
    </row>
    <row r="94" spans="2:11" x14ac:dyDescent="0.35">
      <c r="B94" s="40" t="s">
        <v>715</v>
      </c>
      <c r="E94" s="45">
        <f>IF(SUM(Model!$L$123:$R$123)&lt;=0,9.99,($S$31-$L$31)/SUM(Model!$L$123:$R$123))</f>
        <v>0.42934832320380545</v>
      </c>
      <c r="G94" s="15" t="s">
        <v>716</v>
      </c>
    </row>
    <row r="95" spans="2:11" x14ac:dyDescent="0.35">
      <c r="B95" s="40" t="s">
        <v>717</v>
      </c>
      <c r="E95" s="45">
        <f>MAX($E$55,Model!$K$122)</f>
        <v>0.19281969941234592</v>
      </c>
      <c r="G95" s="15" t="s">
        <v>718</v>
      </c>
    </row>
    <row r="96" spans="2:11" x14ac:dyDescent="0.35">
      <c r="B96" s="40" t="s">
        <v>719</v>
      </c>
      <c r="E96" s="94">
        <f>$E$94/$E$95</f>
        <v>2.2266828779026455</v>
      </c>
      <c r="G96" s="15" t="s">
        <v>720</v>
      </c>
    </row>
    <row r="97" spans="2:11" x14ac:dyDescent="0.35">
      <c r="B97" s="40" t="s">
        <v>721</v>
      </c>
      <c r="E97" s="45">
        <f>$E$55-$E$53</f>
        <v>3.0124170843949805E-2</v>
      </c>
      <c r="G97" s="15" t="s">
        <v>722</v>
      </c>
    </row>
    <row r="98" spans="2:11" x14ac:dyDescent="0.35">
      <c r="B98" s="40" t="s">
        <v>723</v>
      </c>
      <c r="E98" s="45">
        <f>$E$53-$E$52</f>
        <v>6.9875829156050187E-2</v>
      </c>
      <c r="G98" s="15"/>
    </row>
    <row r="99" spans="2:11" ht="8" customHeight="1" x14ac:dyDescent="0.35"/>
    <row r="100" spans="2:11" ht="14.5" customHeight="1" x14ac:dyDescent="0.35">
      <c r="B100" s="9" t="s">
        <v>724</v>
      </c>
      <c r="C100" s="9"/>
      <c r="D100" s="9"/>
      <c r="E100" s="9"/>
      <c r="F100" s="9"/>
      <c r="G100" s="9"/>
      <c r="H100" s="9"/>
      <c r="I100" s="9"/>
      <c r="J100" s="9"/>
      <c r="K100" s="9"/>
    </row>
    <row r="101" spans="2:11" ht="5" customHeight="1" x14ac:dyDescent="0.35"/>
    <row r="102" spans="2:11" x14ac:dyDescent="0.35">
      <c r="B102" s="40" t="s">
        <v>705</v>
      </c>
      <c r="E102" s="74">
        <f>$E$83</f>
        <v>139.11050532301047</v>
      </c>
      <c r="F102" s="144">
        <f>Inputs!$C$59</f>
        <v>0.7</v>
      </c>
      <c r="G102" s="15" t="s">
        <v>725</v>
      </c>
    </row>
    <row r="103" spans="2:11" x14ac:dyDescent="0.35">
      <c r="B103" s="40" t="s">
        <v>726</v>
      </c>
      <c r="E103" s="109">
        <f>Comps!$H$33</f>
        <v>135.89852548075453</v>
      </c>
      <c r="F103" s="144">
        <f>Inputs!$C$60</f>
        <v>0.30000000000000004</v>
      </c>
      <c r="G103" s="15" t="s">
        <v>725</v>
      </c>
    </row>
    <row r="104" spans="2:11" x14ac:dyDescent="0.35">
      <c r="B104" s="11" t="s">
        <v>727</v>
      </c>
      <c r="E104" s="108">
        <f>$E$102*Inputs!$C$59+$E$103*Inputs!$C$60</f>
        <v>138.1469113703337</v>
      </c>
      <c r="G104" s="15"/>
    </row>
    <row r="105" spans="2:11" x14ac:dyDescent="0.35">
      <c r="B105" s="40" t="s">
        <v>728</v>
      </c>
      <c r="E105" s="78">
        <f>WACC!$C$16</f>
        <v>9.4662032395611315E-2</v>
      </c>
      <c r="G105" s="15"/>
    </row>
    <row r="106" spans="2:11" x14ac:dyDescent="0.35">
      <c r="B106" s="40" t="s">
        <v>729</v>
      </c>
      <c r="E106" s="120">
        <f>IF(Inputs!$C$61=1,1+$E$105,1)</f>
        <v>1.0946620323956113</v>
      </c>
      <c r="G106" s="15"/>
    </row>
    <row r="107" spans="2:11" x14ac:dyDescent="0.35">
      <c r="B107" s="40" t="s">
        <v>730</v>
      </c>
      <c r="E107" s="74">
        <f>IF(Inputs!$C$61=1,Model!$L$107,0)</f>
        <v>5.5716722997540726</v>
      </c>
      <c r="G107" s="15"/>
    </row>
    <row r="108" spans="2:11" x14ac:dyDescent="0.35">
      <c r="B108" s="40" t="s">
        <v>731</v>
      </c>
      <c r="E108" s="74">
        <f>$E$104*$E$106-$E$107</f>
        <v>145.65250647007178</v>
      </c>
      <c r="G108" s="15"/>
    </row>
    <row r="109" spans="2:11" x14ac:dyDescent="0.35">
      <c r="B109" s="61" t="s">
        <v>732</v>
      </c>
      <c r="C109" s="63"/>
      <c r="D109" s="63"/>
      <c r="E109" s="149">
        <f>ROUND($E$108/Inputs!$C$62,0)*Inputs!$C$62</f>
        <v>146</v>
      </c>
      <c r="G109" s="15"/>
    </row>
    <row r="110" spans="2:11" x14ac:dyDescent="0.35">
      <c r="B110" s="40" t="s">
        <v>733</v>
      </c>
      <c r="E110" s="45">
        <f>$E$109/$E$84-1</f>
        <v>0.19672131147540983</v>
      </c>
      <c r="G110" s="15"/>
    </row>
    <row r="111" spans="2:11" x14ac:dyDescent="0.35">
      <c r="B111" s="40" t="s">
        <v>734</v>
      </c>
      <c r="E111" s="45">
        <f>Model!$L$107/$E$84</f>
        <v>4.5669445079951416E-2</v>
      </c>
      <c r="G111" s="15"/>
    </row>
    <row r="112" spans="2:11" x14ac:dyDescent="0.35">
      <c r="B112" s="61" t="s">
        <v>735</v>
      </c>
      <c r="C112" s="63"/>
      <c r="D112" s="63"/>
      <c r="E112" s="150">
        <f>$E$110+$E$111</f>
        <v>0.24239075655536124</v>
      </c>
      <c r="G112" s="15"/>
    </row>
    <row r="113" spans="2:7" x14ac:dyDescent="0.35">
      <c r="B113" s="61" t="s">
        <v>736</v>
      </c>
      <c r="C113" s="63"/>
      <c r="D113" s="63"/>
      <c r="E113" s="150">
        <f>$E$112-$E$105</f>
        <v>0.14772872415974991</v>
      </c>
      <c r="G113" s="15" t="s">
        <v>737</v>
      </c>
    </row>
    <row r="114" spans="2:7" x14ac:dyDescent="0.35">
      <c r="B114" s="61" t="s">
        <v>738</v>
      </c>
      <c r="C114" s="63"/>
      <c r="D114" s="63"/>
      <c r="E114" s="151" t="str">
        <f>IF($E$113&gt;=Inputs!$C$63,"BUY",IF($E$113&lt;=Inputs!$C$64,"SELL","HOLD"))</f>
        <v>BUY</v>
      </c>
      <c r="G114" s="15"/>
    </row>
  </sheetData>
  <mergeCells count="2">
    <mergeCell ref="E4:K4"/>
    <mergeCell ref="L4:S4"/>
  </mergeCells>
  <printOptions horizontalCentered="1"/>
  <pageMargins left="0.4" right="0.4" top="1" bottom="1" header="0.5" footer="0.5"/>
  <pageSetup paperSize="9"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3255"/>
    <pageSetUpPr fitToPage="1"/>
  </sheetPr>
  <dimension ref="B1:AD87"/>
  <sheetViews>
    <sheetView showGridLines="0" zoomScale="90" workbookViewId="0">
      <pane xSplit="2" ySplit="2" topLeftCell="C3" activePane="bottomRight" state="frozen"/>
      <selection pane="topRight"/>
      <selection pane="bottomLeft"/>
      <selection pane="bottomRight"/>
    </sheetView>
  </sheetViews>
  <sheetFormatPr defaultRowHeight="14.5" x14ac:dyDescent="0.35"/>
  <cols>
    <col min="1" max="1" width="2" customWidth="1"/>
    <col min="2" max="2" width="34" customWidth="1"/>
    <col min="3" max="3" width="17" customWidth="1"/>
    <col min="4" max="31" width="11" customWidth="1"/>
  </cols>
  <sheetData>
    <row r="1" spans="2:14" ht="24" customHeight="1" x14ac:dyDescent="0.4">
      <c r="B1" s="30" t="s">
        <v>739</v>
      </c>
      <c r="N1" s="54" t="str">
        <f>Inputs!$C$6&amp;"  |  Scenario: "&amp;Inputs!$C$53</f>
        <v>Example Company ASA  |  Scenario: Base</v>
      </c>
    </row>
    <row r="2" spans="2:14" x14ac:dyDescent="0.35">
      <c r="B2" s="15" t="s">
        <v>740</v>
      </c>
    </row>
    <row r="3" spans="2:14" x14ac:dyDescent="0.35">
      <c r="B3" s="31" t="s">
        <v>741</v>
      </c>
      <c r="C3" s="31"/>
      <c r="D3" s="31"/>
      <c r="E3" s="31"/>
      <c r="F3" s="31"/>
      <c r="G3" s="31"/>
      <c r="H3" s="31"/>
      <c r="I3" s="31"/>
      <c r="J3" s="31"/>
      <c r="K3" s="31"/>
      <c r="L3" s="31"/>
      <c r="M3" s="31"/>
      <c r="N3" s="31"/>
    </row>
    <row r="4" spans="2:14" x14ac:dyDescent="0.35">
      <c r="B4" s="40" t="s">
        <v>742</v>
      </c>
      <c r="D4" s="152"/>
      <c r="F4" s="15" t="s">
        <v>743</v>
      </c>
    </row>
    <row r="5" spans="2:14" x14ac:dyDescent="0.35">
      <c r="B5" s="40" t="s">
        <v>744</v>
      </c>
      <c r="D5" s="153"/>
    </row>
    <row r="6" spans="2:14" x14ac:dyDescent="0.35">
      <c r="B6" s="40" t="s">
        <v>745</v>
      </c>
      <c r="D6" s="153"/>
    </row>
    <row r="8" spans="2:14" x14ac:dyDescent="0.35">
      <c r="B8" s="31" t="s">
        <v>746</v>
      </c>
      <c r="C8" s="31"/>
      <c r="D8" s="31"/>
      <c r="E8" s="31"/>
      <c r="F8" s="31"/>
      <c r="G8" s="31"/>
      <c r="H8" s="31"/>
      <c r="I8" s="31"/>
      <c r="J8" s="31"/>
      <c r="K8" s="31"/>
      <c r="L8" s="31"/>
      <c r="M8" s="31"/>
      <c r="N8" s="31"/>
    </row>
    <row r="9" spans="2:14" x14ac:dyDescent="0.35">
      <c r="B9" s="40" t="s">
        <v>747</v>
      </c>
      <c r="C9" s="127">
        <v>5.0000000000000001E-3</v>
      </c>
    </row>
    <row r="10" spans="2:14" x14ac:dyDescent="0.35">
      <c r="B10" s="40" t="s">
        <v>748</v>
      </c>
      <c r="C10" s="127">
        <v>2.5000000000000001E-3</v>
      </c>
    </row>
    <row r="12" spans="2:14" x14ac:dyDescent="0.35">
      <c r="C12" s="154" t="s">
        <v>749</v>
      </c>
      <c r="D12" s="155">
        <f>WACC!$C$34+(0-3)*$C$9</f>
        <v>7.4875829156050192E-2</v>
      </c>
      <c r="E12" s="155">
        <f>WACC!$C$34+(1-3)*$C$9</f>
        <v>7.9875829156050196E-2</v>
      </c>
      <c r="F12" s="155">
        <f>WACC!$C$34+(2-3)*$C$9</f>
        <v>8.4875829156050187E-2</v>
      </c>
      <c r="G12" s="155">
        <f>WACC!$C$34+(3-3)*$C$9</f>
        <v>8.9875829156050191E-2</v>
      </c>
      <c r="H12" s="155">
        <f>WACC!$C$34+(4-3)*$C$9</f>
        <v>9.4875829156050195E-2</v>
      </c>
      <c r="I12" s="155">
        <f>WACC!$C$34+(5-3)*$C$9</f>
        <v>9.9875829156050186E-2</v>
      </c>
      <c r="J12" s="155">
        <f>WACC!$C$34+(6-3)*$C$9</f>
        <v>0.10487582915605019</v>
      </c>
      <c r="L12" s="15" t="s">
        <v>750</v>
      </c>
    </row>
    <row r="13" spans="2:14" x14ac:dyDescent="0.35">
      <c r="C13" s="155">
        <f>Drivers!$H$91+(0-2)*$C$10</f>
        <v>1.4999999999999999E-2</v>
      </c>
      <c r="D13" s="156">
        <f>(SUMPRODUCT(DCF!$L$45:$S$45,(1+D$12)^(-DCF!$L$46:$S$46))+Inputs!$C$56*IF(Inputs!$C$58=1,DCF!$S$23*(1+$C13)*DCF!$T$29*(1-Drivers!$H$94)*(1-$C13/Drivers!$H$93),DCF!$S$35*(1+$C13))/(D$12-$C13)*(1+D$12)^(-DCF!$S$46)+Inputs!$C$57*DCF!$S$25*Drivers!$H$95*(1+D$12)^(-(Inputs!$C$23+DCF!$S$43-1))+SUM(DCF!$E$75:$E$79))/Inputs!$C$31</f>
        <v>174.95622620817096</v>
      </c>
      <c r="E13" s="156">
        <f>(SUMPRODUCT(DCF!$L$45:$S$45,(1+E$12)^(-DCF!$L$46:$S$46))+Inputs!$C$56*IF(Inputs!$C$58=1,DCF!$S$23*(1+$C13)*DCF!$T$29*(1-Drivers!$H$94)*(1-$C13/Drivers!$H$93),DCF!$S$35*(1+$C13))/(E$12-$C13)*(1+E$12)^(-DCF!$S$46)+Inputs!$C$57*DCF!$S$25*Drivers!$H$95*(1+E$12)^(-(Inputs!$C$23+DCF!$S$43-1))+SUM(DCF!$E$75:$E$79))/Inputs!$C$31</f>
        <v>160.2262804204959</v>
      </c>
      <c r="F13" s="156">
        <f>(SUMPRODUCT(DCF!$L$45:$S$45,(1+F$12)^(-DCF!$L$46:$S$46))+Inputs!$C$56*IF(Inputs!$C$58=1,DCF!$S$23*(1+$C13)*DCF!$T$29*(1-Drivers!$H$94)*(1-$C13/Drivers!$H$93),DCF!$S$35*(1+$C13))/(F$12-$C13)*(1+F$12)^(-DCF!$S$46)+Inputs!$C$57*DCF!$S$25*Drivers!$H$95*(1+F$12)^(-(Inputs!$C$23+DCF!$S$43-1))+SUM(DCF!$E$75:$E$79))/Inputs!$C$31</f>
        <v>147.61261727674426</v>
      </c>
      <c r="G13" s="156">
        <f>(SUMPRODUCT(DCF!$L$45:$S$45,(1+G$12)^(-DCF!$L$46:$S$46))+Inputs!$C$56*IF(Inputs!$C$58=1,DCF!$S$23*(1+$C13)*DCF!$T$29*(1-Drivers!$H$94)*(1-$C13/Drivers!$H$93),DCF!$S$35*(1+$C13))/(G$12-$C13)*(1+G$12)^(-DCF!$S$46)+Inputs!$C$57*DCF!$S$25*Drivers!$H$95*(1+G$12)^(-(Inputs!$C$23+DCF!$S$43-1))+SUM(DCF!$E$75:$E$79))/Inputs!$C$31</f>
        <v>136.69111298937091</v>
      </c>
      <c r="H13" s="156">
        <f>(SUMPRODUCT(DCF!$L$45:$S$45,(1+H$12)^(-DCF!$L$46:$S$46))+Inputs!$C$56*IF(Inputs!$C$58=1,DCF!$S$23*(1+$C13)*DCF!$T$29*(1-Drivers!$H$94)*(1-$C13/Drivers!$H$93),DCF!$S$35*(1+$C13))/(H$12-$C13)*(1+H$12)^(-DCF!$S$46)+Inputs!$C$57*DCF!$S$25*Drivers!$H$95*(1+H$12)^(-(Inputs!$C$23+DCF!$S$43-1))+SUM(DCF!$E$75:$E$79))/Inputs!$C$31</f>
        <v>127.14384283724007</v>
      </c>
      <c r="I13" s="156">
        <f>(SUMPRODUCT(DCF!$L$45:$S$45,(1+I$12)^(-DCF!$L$46:$S$46))+Inputs!$C$56*IF(Inputs!$C$58=1,DCF!$S$23*(1+$C13)*DCF!$T$29*(1-Drivers!$H$94)*(1-$C13/Drivers!$H$93),DCF!$S$35*(1+$C13))/(I$12-$C13)*(1+I$12)^(-DCF!$S$46)+Inputs!$C$57*DCF!$S$25*Drivers!$H$95*(1+I$12)^(-(Inputs!$C$23+DCF!$S$43-1))+SUM(DCF!$E$75:$E$79))/Inputs!$C$31</f>
        <v>118.72780040414493</v>
      </c>
      <c r="J13" s="156">
        <f>(SUMPRODUCT(DCF!$L$45:$S$45,(1+J$12)^(-DCF!$L$46:$S$46))+Inputs!$C$56*IF(Inputs!$C$58=1,DCF!$S$23*(1+$C13)*DCF!$T$29*(1-Drivers!$H$94)*(1-$C13/Drivers!$H$93),DCF!$S$35*(1+$C13))/(J$12-$C13)*(1+J$12)^(-DCF!$S$46)+Inputs!$C$57*DCF!$S$25*Drivers!$H$95*(1+J$12)^(-(Inputs!$C$23+DCF!$S$43-1))+SUM(DCF!$E$75:$E$79))/Inputs!$C$31</f>
        <v>111.25405814222283</v>
      </c>
    </row>
    <row r="14" spans="2:14" x14ac:dyDescent="0.35">
      <c r="C14" s="155">
        <f>Drivers!$H$91+(1-2)*$C$10</f>
        <v>1.7500000000000002E-2</v>
      </c>
      <c r="D14" s="156">
        <f>(SUMPRODUCT(DCF!$L$45:$S$45,(1+D$12)^(-DCF!$L$46:$S$46))+Inputs!$C$56*IF(Inputs!$C$58=1,DCF!$S$23*(1+$C14)*DCF!$T$29*(1-Drivers!$H$94)*(1-$C14/Drivers!$H$93),DCF!$S$35*(1+$C14))/(D$12-$C14)*(1+D$12)^(-DCF!$S$46)+Inputs!$C$57*DCF!$S$25*Drivers!$H$95*(1+D$12)^(-(Inputs!$C$23+DCF!$S$43-1))+SUM(DCF!$E$75:$E$79))/Inputs!$C$31</f>
        <v>177.71815038151482</v>
      </c>
      <c r="E14" s="156">
        <f>(SUMPRODUCT(DCF!$L$45:$S$45,(1+E$12)^(-DCF!$L$46:$S$46))+Inputs!$C$56*IF(Inputs!$C$58=1,DCF!$S$23*(1+$C14)*DCF!$T$29*(1-Drivers!$H$94)*(1-$C14/Drivers!$H$93),DCF!$S$35*(1+$C14))/(E$12-$C14)*(1+E$12)^(-DCF!$S$46)+Inputs!$C$57*DCF!$S$25*Drivers!$H$95*(1+E$12)^(-(Inputs!$C$23+DCF!$S$43-1))+SUM(DCF!$E$75:$E$79))/Inputs!$C$31</f>
        <v>162.2986900958133</v>
      </c>
      <c r="F14" s="156">
        <f>(SUMPRODUCT(DCF!$L$45:$S$45,(1+F$12)^(-DCF!$L$46:$S$46))+Inputs!$C$56*IF(Inputs!$C$58=1,DCF!$S$23*(1+$C14)*DCF!$T$29*(1-Drivers!$H$94)*(1-$C14/Drivers!$H$93),DCF!$S$35*(1+$C14))/(F$12-$C14)*(1+F$12)^(-DCF!$S$46)+Inputs!$C$57*DCF!$S$25*Drivers!$H$95*(1+F$12)^(-(Inputs!$C$23+DCF!$S$43-1))+SUM(DCF!$E$75:$E$79))/Inputs!$C$31</f>
        <v>149.17268305696641</v>
      </c>
      <c r="G14" s="156">
        <f>(SUMPRODUCT(DCF!$L$45:$S$45,(1+G$12)^(-DCF!$L$46:$S$46))+Inputs!$C$56*IF(Inputs!$C$58=1,DCF!$S$23*(1+$C14)*DCF!$T$29*(1-Drivers!$H$94)*(1-$C14/Drivers!$H$93),DCF!$S$35*(1+$C14))/(G$12-$C14)*(1+G$12)^(-DCF!$S$46)+Inputs!$C$57*DCF!$S$25*Drivers!$H$95*(1+G$12)^(-(Inputs!$C$23+DCF!$S$43-1))+SUM(DCF!$E$75:$E$79))/Inputs!$C$31</f>
        <v>137.86476749191158</v>
      </c>
      <c r="H14" s="156">
        <f>(SUMPRODUCT(DCF!$L$45:$S$45,(1+H$12)^(-DCF!$L$46:$S$46))+Inputs!$C$56*IF(Inputs!$C$58=1,DCF!$S$23*(1+$C14)*DCF!$T$29*(1-Drivers!$H$94)*(1-$C14/Drivers!$H$93),DCF!$S$35*(1+$C14))/(H$12-$C14)*(1+H$12)^(-DCF!$S$46)+Inputs!$C$57*DCF!$S$25*Drivers!$H$95*(1+H$12)^(-(Inputs!$C$23+DCF!$S$43-1))+SUM(DCF!$E$75:$E$79))/Inputs!$C$31</f>
        <v>128.02245063583874</v>
      </c>
      <c r="I14" s="156">
        <f>(SUMPRODUCT(DCF!$L$45:$S$45,(1+I$12)^(-DCF!$L$46:$S$46))+Inputs!$C$56*IF(Inputs!$C$58=1,DCF!$S$23*(1+$C14)*DCF!$T$29*(1-Drivers!$H$94)*(1-$C14/Drivers!$H$93),DCF!$S$35*(1+$C14))/(I$12-$C14)*(1+I$12)^(-DCF!$S$46)+Inputs!$C$57*DCF!$S$25*Drivers!$H$95*(1+I$12)^(-(Inputs!$C$23+DCF!$S$43-1))+SUM(DCF!$E$75:$E$79))/Inputs!$C$31</f>
        <v>119.37881976261197</v>
      </c>
      <c r="J14" s="156">
        <f>(SUMPRODUCT(DCF!$L$45:$S$45,(1+J$12)^(-DCF!$L$46:$S$46))+Inputs!$C$56*IF(Inputs!$C$58=1,DCF!$S$23*(1+$C14)*DCF!$T$29*(1-Drivers!$H$94)*(1-$C14/Drivers!$H$93),DCF!$S$35*(1+$C14))/(J$12-$C14)*(1+J$12)^(-DCF!$S$46)+Inputs!$C$57*DCF!$S$25*Drivers!$H$95*(1+J$12)^(-(Inputs!$C$23+DCF!$S$43-1))+SUM(DCF!$E$75:$E$79))/Inputs!$C$31</f>
        <v>111.72805616060944</v>
      </c>
    </row>
    <row r="15" spans="2:14" x14ac:dyDescent="0.35">
      <c r="C15" s="155">
        <f>Drivers!$H$91+(2-2)*$C$10</f>
        <v>0.02</v>
      </c>
      <c r="D15" s="156">
        <f>(SUMPRODUCT(DCF!$L$45:$S$45,(1+D$12)^(-DCF!$L$46:$S$46))+Inputs!$C$56*IF(Inputs!$C$58=1,DCF!$S$23*(1+$C15)*DCF!$T$29*(1-Drivers!$H$94)*(1-$C15/Drivers!$H$93),DCF!$S$35*(1+$C15))/(D$12-$C15)*(1+D$12)^(-DCF!$S$46)+Inputs!$C$57*DCF!$S$25*Drivers!$H$95*(1+D$12)^(-(Inputs!$C$23+DCF!$S$43-1))+SUM(DCF!$E$75:$E$79))/Inputs!$C$31</f>
        <v>180.71508134575572</v>
      </c>
      <c r="E15" s="156">
        <f>(SUMPRODUCT(DCF!$L$45:$S$45,(1+E$12)^(-DCF!$L$46:$S$46))+Inputs!$C$56*IF(Inputs!$C$58=1,DCF!$S$23*(1+$C15)*DCF!$T$29*(1-Drivers!$H$94)*(1-$C15/Drivers!$H$93),DCF!$S$35*(1+$C15))/(E$12-$C15)*(1+E$12)^(-DCF!$S$46)+Inputs!$C$57*DCF!$S$25*Drivers!$H$95*(1+E$12)^(-(Inputs!$C$23+DCF!$S$43-1))+SUM(DCF!$E$75:$E$79))/Inputs!$C$31</f>
        <v>164.52937660555361</v>
      </c>
      <c r="F15" s="156">
        <f>(SUMPRODUCT(DCF!$L$45:$S$45,(1+F$12)^(-DCF!$L$46:$S$46))+Inputs!$C$56*IF(Inputs!$C$58=1,DCF!$S$23*(1+$C15)*DCF!$T$29*(1-Drivers!$H$94)*(1-$C15/Drivers!$H$93),DCF!$S$35*(1+$C15))/(F$12-$C15)*(1+F$12)^(-DCF!$S$46)+Inputs!$C$57*DCF!$S$25*Drivers!$H$95*(1+F$12)^(-(Inputs!$C$23+DCF!$S$43-1))+SUM(DCF!$E$75:$E$79))/Inputs!$C$31</f>
        <v>150.83976203549068</v>
      </c>
      <c r="G15" s="157">
        <f>(SUMPRODUCT(DCF!$L$45:$S$45,(1+G$12)^(-DCF!$L$46:$S$46))+Inputs!$C$56*IF(Inputs!$C$58=1,DCF!$S$23*(1+$C15)*DCF!$T$29*(1-Drivers!$H$94)*(1-$C15/Drivers!$H$93),DCF!$S$35*(1+$C15))/(G$12-$C15)*(1+G$12)^(-DCF!$S$46)+Inputs!$C$57*DCF!$S$25*Drivers!$H$95*(1+G$12)^(-(Inputs!$C$23+DCF!$S$43-1))+SUM(DCF!$E$75:$E$79))/Inputs!$C$31</f>
        <v>139.11050532301047</v>
      </c>
      <c r="H15" s="156">
        <f>(SUMPRODUCT(DCF!$L$45:$S$45,(1+H$12)^(-DCF!$L$46:$S$46))+Inputs!$C$56*IF(Inputs!$C$58=1,DCF!$S$23*(1+$C15)*DCF!$T$29*(1-Drivers!$H$94)*(1-$C15/Drivers!$H$93),DCF!$S$35*(1+$C15))/(H$12-$C15)*(1+H$12)^(-DCF!$S$46)+Inputs!$C$57*DCF!$S$25*Drivers!$H$95*(1+H$12)^(-(Inputs!$C$23+DCF!$S$43-1))+SUM(DCF!$E$75:$E$79))/Inputs!$C$31</f>
        <v>128.94896564094955</v>
      </c>
      <c r="I15" s="156">
        <f>(SUMPRODUCT(DCF!$L$45:$S$45,(1+I$12)^(-DCF!$L$46:$S$46))+Inputs!$C$56*IF(Inputs!$C$58=1,DCF!$S$23*(1+$C15)*DCF!$T$29*(1-Drivers!$H$94)*(1-$C15/Drivers!$H$93),DCF!$S$35*(1+$C15))/(I$12-$C15)*(1+I$12)^(-DCF!$S$46)+Inputs!$C$57*DCF!$S$25*Drivers!$H$95*(1+I$12)^(-(Inputs!$C$23+DCF!$S$43-1))+SUM(DCF!$E$75:$E$79))/Inputs!$C$31</f>
        <v>120.06080848108094</v>
      </c>
      <c r="J15" s="156">
        <f>(SUMPRODUCT(DCF!$L$45:$S$45,(1+J$12)^(-DCF!$L$46:$S$46))+Inputs!$C$56*IF(Inputs!$C$58=1,DCF!$S$23*(1+$C15)*DCF!$T$29*(1-Drivers!$H$94)*(1-$C15/Drivers!$H$93),DCF!$S$35*(1+$C15))/(J$12-$C15)*(1+J$12)^(-DCF!$S$46)+Inputs!$C$57*DCF!$S$25*Drivers!$H$95*(1+J$12)^(-(Inputs!$C$23+DCF!$S$43-1))+SUM(DCF!$E$75:$E$79))/Inputs!$C$31</f>
        <v>112.22105011645752</v>
      </c>
    </row>
    <row r="16" spans="2:14" x14ac:dyDescent="0.35">
      <c r="C16" s="155">
        <f>Drivers!$H$91+(3-2)*$C$10</f>
        <v>2.2499999999999999E-2</v>
      </c>
      <c r="D16" s="156">
        <f>(SUMPRODUCT(DCF!$L$45:$S$45,(1+D$12)^(-DCF!$L$46:$S$46))+Inputs!$C$56*IF(Inputs!$C$58=1,DCF!$S$23*(1+$C16)*DCF!$T$29*(1-Drivers!$H$94)*(1-$C16/Drivers!$H$93),DCF!$S$35*(1+$C16))/(D$12-$C16)*(1+D$12)^(-DCF!$S$46)+Inputs!$C$57*DCF!$S$25*Drivers!$H$95*(1+D$12)^(-(Inputs!$C$23+DCF!$S$43-1))+SUM(DCF!$E$75:$E$79))/Inputs!$C$31</f>
        <v>183.98067109190049</v>
      </c>
      <c r="E16" s="156">
        <f>(SUMPRODUCT(DCF!$L$45:$S$45,(1+E$12)^(-DCF!$L$46:$S$46))+Inputs!$C$56*IF(Inputs!$C$58=1,DCF!$S$23*(1+$C16)*DCF!$T$29*(1-Drivers!$H$94)*(1-$C16/Drivers!$H$93),DCF!$S$35*(1+$C16))/(E$12-$C16)*(1+E$12)^(-DCF!$S$46)+Inputs!$C$57*DCF!$S$25*Drivers!$H$95*(1+E$12)^(-(Inputs!$C$23+DCF!$S$43-1))+SUM(DCF!$E$75:$E$79))/Inputs!$C$31</f>
        <v>166.93902943299986</v>
      </c>
      <c r="F16" s="156">
        <f>(SUMPRODUCT(DCF!$L$45:$S$45,(1+F$12)^(-DCF!$L$46:$S$46))+Inputs!$C$56*IF(Inputs!$C$58=1,DCF!$S$23*(1+$C16)*DCF!$T$29*(1-Drivers!$H$94)*(1-$C16/Drivers!$H$93),DCF!$S$35*(1+$C16))/(F$12-$C16)*(1+F$12)^(-DCF!$S$46)+Inputs!$C$57*DCF!$S$25*Drivers!$H$95*(1+F$12)^(-(Inputs!$C$23+DCF!$S$43-1))+SUM(DCF!$E$75:$E$79))/Inputs!$C$31</f>
        <v>152.62672135970627</v>
      </c>
      <c r="G16" s="156">
        <f>(SUMPRODUCT(DCF!$L$45:$S$45,(1+G$12)^(-DCF!$L$46:$S$46))+Inputs!$C$56*IF(Inputs!$C$58=1,DCF!$S$23*(1+$C16)*DCF!$T$29*(1-Drivers!$H$94)*(1-$C16/Drivers!$H$93),DCF!$S$35*(1+$C16))/(G$12-$C16)*(1+G$12)^(-DCF!$S$46)+Inputs!$C$57*DCF!$S$25*Drivers!$H$95*(1+G$12)^(-(Inputs!$C$23+DCF!$S$43-1))+SUM(DCF!$E$75:$E$79))/Inputs!$C$31</f>
        <v>140.43635050212626</v>
      </c>
      <c r="H16" s="156">
        <f>(SUMPRODUCT(DCF!$L$45:$S$45,(1+H$12)^(-DCF!$L$46:$S$46))+Inputs!$C$56*IF(Inputs!$C$58=1,DCF!$S$23*(1+$C16)*DCF!$T$29*(1-Drivers!$H$94)*(1-$C16/Drivers!$H$93),DCF!$S$35*(1+$C16))/(H$12-$C16)*(1+H$12)^(-DCF!$S$46)+Inputs!$C$57*DCF!$S$25*Drivers!$H$95*(1+H$12)^(-(Inputs!$C$23+DCF!$S$43-1))+SUM(DCF!$E$75:$E$79))/Inputs!$C$31</f>
        <v>129.9283522730569</v>
      </c>
      <c r="I16" s="156">
        <f>(SUMPRODUCT(DCF!$L$45:$S$45,(1+I$12)^(-DCF!$L$46:$S$46))+Inputs!$C$56*IF(Inputs!$C$58=1,DCF!$S$23*(1+$C16)*DCF!$T$29*(1-Drivers!$H$94)*(1-$C16/Drivers!$H$93),DCF!$S$35*(1+$C16))/(I$12-$C16)*(1+I$12)^(-DCF!$S$46)+Inputs!$C$57*DCF!$S$25*Drivers!$H$95*(1+I$12)^(-(Inputs!$C$23+DCF!$S$43-1))+SUM(DCF!$E$75:$E$79))/Inputs!$C$31</f>
        <v>120.77676840395932</v>
      </c>
      <c r="J16" s="156">
        <f>(SUMPRODUCT(DCF!$L$45:$S$45,(1+J$12)^(-DCF!$L$46:$S$46))+Inputs!$C$56*IF(Inputs!$C$58=1,DCF!$S$23*(1+$C16)*DCF!$T$29*(1-Drivers!$H$94)*(1-$C16/Drivers!$H$93),DCF!$S$35*(1+$C16))/(J$12-$C16)*(1+J$12)^(-DCF!$S$46)+Inputs!$C$57*DCF!$S$25*Drivers!$H$95*(1+J$12)^(-(Inputs!$C$23+DCF!$S$43-1))+SUM(DCF!$E$75:$E$79))/Inputs!$C$31</f>
        <v>112.73476951625493</v>
      </c>
    </row>
    <row r="17" spans="2:14" x14ac:dyDescent="0.35">
      <c r="C17" s="155">
        <f>Drivers!$H$91+(4-2)*$C$10</f>
        <v>2.5000000000000001E-2</v>
      </c>
      <c r="D17" s="156">
        <f>(SUMPRODUCT(DCF!$L$45:$S$45,(1+D$12)^(-DCF!$L$46:$S$46))+Inputs!$C$56*IF(Inputs!$C$58=1,DCF!$S$23*(1+$C17)*DCF!$T$29*(1-Drivers!$H$94)*(1-$C17/Drivers!$H$93),DCF!$S$35*(1+$C17))/(D$12-$C17)*(1+D$12)^(-DCF!$S$46)+Inputs!$C$57*DCF!$S$25*Drivers!$H$95*(1+D$12)^(-(Inputs!$C$23+DCF!$S$43-1))+SUM(DCF!$E$75:$E$79))/Inputs!$C$31</f>
        <v>187.55531876515366</v>
      </c>
      <c r="E17" s="156">
        <f>(SUMPRODUCT(DCF!$L$45:$S$45,(1+E$12)^(-DCF!$L$46:$S$46))+Inputs!$C$56*IF(Inputs!$C$58=1,DCF!$S$23*(1+$C17)*DCF!$T$29*(1-Drivers!$H$94)*(1-$C17/Drivers!$H$93),DCF!$S$35*(1+$C17))/(E$12-$C17)*(1+E$12)^(-DCF!$S$46)+Inputs!$C$57*DCF!$S$25*Drivers!$H$95*(1+E$12)^(-(Inputs!$C$23+DCF!$S$43-1))+SUM(DCF!$E$75:$E$79))/Inputs!$C$31</f>
        <v>169.55210829754822</v>
      </c>
      <c r="F17" s="156">
        <f>(SUMPRODUCT(DCF!$L$45:$S$45,(1+F$12)^(-DCF!$L$46:$S$46))+Inputs!$C$56*IF(Inputs!$C$58=1,DCF!$S$23*(1+$C17)*DCF!$T$29*(1-Drivers!$H$94)*(1-$C17/Drivers!$H$93),DCF!$S$35*(1+$C17))/(F$12-$C17)*(1+F$12)^(-DCF!$S$46)+Inputs!$C$57*DCF!$S$25*Drivers!$H$95*(1+F$12)^(-(Inputs!$C$23+DCF!$S$43-1))+SUM(DCF!$E$75:$E$79))/Inputs!$C$31</f>
        <v>154.54857714889454</v>
      </c>
      <c r="G17" s="156">
        <f>(SUMPRODUCT(DCF!$L$45:$S$45,(1+G$12)^(-DCF!$L$46:$S$46))+Inputs!$C$56*IF(Inputs!$C$58=1,DCF!$S$23*(1+$C17)*DCF!$T$29*(1-Drivers!$H$94)*(1-$C17/Drivers!$H$93),DCF!$S$35*(1+$C17))/(G$12-$C17)*(1+G$12)^(-DCF!$S$46)+Inputs!$C$57*DCF!$S$25*Drivers!$H$95*(1+G$12)^(-(Inputs!$C$23+DCF!$S$43-1))+SUM(DCF!$E$75:$E$79))/Inputs!$C$31</f>
        <v>141.8515638759863</v>
      </c>
      <c r="H17" s="156">
        <f>(SUMPRODUCT(DCF!$L$45:$S$45,(1+H$12)^(-DCF!$L$46:$S$46))+Inputs!$C$56*IF(Inputs!$C$58=1,DCF!$S$23*(1+$C17)*DCF!$T$29*(1-Drivers!$H$94)*(1-$C17/Drivers!$H$93),DCF!$S$35*(1+$C17))/(H$12-$C17)*(1+H$12)^(-DCF!$S$46)+Inputs!$C$57*DCF!$S$25*Drivers!$H$95*(1+H$12)^(-(Inputs!$C$23+DCF!$S$43-1))+SUM(DCF!$E$75:$E$79))/Inputs!$C$31</f>
        <v>130.96628541584036</v>
      </c>
      <c r="I17" s="156">
        <f>(SUMPRODUCT(DCF!$L$45:$S$45,(1+I$12)^(-DCF!$L$46:$S$46))+Inputs!$C$56*IF(Inputs!$C$58=1,DCF!$S$23*(1+$C17)*DCF!$T$29*(1-Drivers!$H$94)*(1-$C17/Drivers!$H$93),DCF!$S$35*(1+$C17))/(I$12-$C17)*(1+I$12)^(-DCF!$S$46)+Inputs!$C$57*DCF!$S$25*Drivers!$H$95*(1+I$12)^(-(Inputs!$C$23+DCF!$S$43-1))+SUM(DCF!$E$75:$E$79))/Inputs!$C$31</f>
        <v>121.53010228532584</v>
      </c>
      <c r="J17" s="156">
        <f>(SUMPRODUCT(DCF!$L$45:$S$45,(1+J$12)^(-DCF!$L$46:$S$46))+Inputs!$C$56*IF(Inputs!$C$58=1,DCF!$S$23*(1+$C17)*DCF!$T$29*(1-Drivers!$H$94)*(1-$C17/Drivers!$H$93),DCF!$S$35*(1+$C17))/(J$12-$C17)*(1+J$12)^(-DCF!$S$46)+Inputs!$C$57*DCF!$S$25*Drivers!$H$95*(1+J$12)^(-(Inputs!$C$23+DCF!$S$43-1))+SUM(DCF!$E$75:$E$79))/Inputs!$C$31</f>
        <v>113.27116039087544</v>
      </c>
    </row>
    <row r="19" spans="2:14" x14ac:dyDescent="0.35">
      <c r="B19" s="31" t="s">
        <v>751</v>
      </c>
      <c r="C19" s="31"/>
      <c r="D19" s="31"/>
      <c r="E19" s="31"/>
      <c r="F19" s="31"/>
      <c r="G19" s="31"/>
      <c r="H19" s="31"/>
      <c r="I19" s="31"/>
      <c r="J19" s="31"/>
      <c r="K19" s="31"/>
      <c r="L19" s="31"/>
      <c r="M19" s="31"/>
      <c r="N19" s="31"/>
    </row>
    <row r="20" spans="2:14" x14ac:dyDescent="0.35">
      <c r="B20" s="40" t="s">
        <v>752</v>
      </c>
      <c r="C20" s="91">
        <v>1</v>
      </c>
    </row>
    <row r="22" spans="2:14" x14ac:dyDescent="0.35">
      <c r="C22" s="154" t="s">
        <v>753</v>
      </c>
      <c r="D22" s="155">
        <f>WACC!$C$34+(0-3)*$C$9</f>
        <v>7.4875829156050192E-2</v>
      </c>
      <c r="E22" s="155">
        <f>WACC!$C$34+(1-3)*$C$9</f>
        <v>7.9875829156050196E-2</v>
      </c>
      <c r="F22" s="155">
        <f>WACC!$C$34+(2-3)*$C$9</f>
        <v>8.4875829156050187E-2</v>
      </c>
      <c r="G22" s="155">
        <f>WACC!$C$34+(3-3)*$C$9</f>
        <v>8.9875829156050191E-2</v>
      </c>
      <c r="H22" s="155">
        <f>WACC!$C$34+(4-3)*$C$9</f>
        <v>9.4875829156050195E-2</v>
      </c>
      <c r="I22" s="155">
        <f>WACC!$C$34+(5-3)*$C$9</f>
        <v>9.9875829156050186E-2</v>
      </c>
      <c r="J22" s="155">
        <f>WACC!$C$34+(6-3)*$C$9</f>
        <v>0.10487582915605019</v>
      </c>
    </row>
    <row r="23" spans="2:14" x14ac:dyDescent="0.35">
      <c r="C23" s="158">
        <f>Drivers!$H$95+(0-2)*$C$20</f>
        <v>6.5</v>
      </c>
      <c r="D23" s="156">
        <f>(SUMPRODUCT(DCF!$L$45:$S$45,(1+D$22)^(-DCF!$L$46:$S$46))+DCF!$S$25*$C23*(1+D$22)^(-(Inputs!$C$23+DCF!$S$43-1))+SUM(DCF!$E$75:$E$79))/Inputs!$C$31</f>
        <v>131.64342108430887</v>
      </c>
      <c r="E23" s="156">
        <f>(SUMPRODUCT(DCF!$L$45:$S$45,(1+E$22)^(-DCF!$L$46:$S$46))+DCF!$S$25*$C23*(1+E$22)^(-(Inputs!$C$23+DCF!$S$43-1))+SUM(DCF!$E$75:$E$79))/Inputs!$C$31</f>
        <v>127.7756526916194</v>
      </c>
      <c r="F23" s="156">
        <f>(SUMPRODUCT(DCF!$L$45:$S$45,(1+F$22)^(-DCF!$L$46:$S$46))+DCF!$S$25*$C23*(1+F$22)^(-(Inputs!$C$23+DCF!$S$43-1))+SUM(DCF!$E$75:$E$79))/Inputs!$C$31</f>
        <v>124.04282228094468</v>
      </c>
      <c r="G23" s="156">
        <f>(SUMPRODUCT(DCF!$L$45:$S$45,(1+G$22)^(-DCF!$L$46:$S$46))+DCF!$S$25*$C23*(1+G$22)^(-(Inputs!$C$23+DCF!$S$43-1))+SUM(DCF!$E$75:$E$79))/Inputs!$C$31</f>
        <v>120.43948942918129</v>
      </c>
      <c r="H23" s="156">
        <f>(SUMPRODUCT(DCF!$L$45:$S$45,(1+H$22)^(-DCF!$L$46:$S$46))+DCF!$S$25*$C23*(1+H$22)^(-(Inputs!$C$23+DCF!$S$43-1))+SUM(DCF!$E$75:$E$79))/Inputs!$C$31</f>
        <v>116.96045927015716</v>
      </c>
      <c r="I23" s="156">
        <f>(SUMPRODUCT(DCF!$L$45:$S$45,(1+I$22)^(-DCF!$L$46:$S$46))+DCF!$S$25*$C23*(1+I$22)^(-(Inputs!$C$23+DCF!$S$43-1))+SUM(DCF!$E$75:$E$79))/Inputs!$C$31</f>
        <v>113.60077029189607</v>
      </c>
      <c r="J23" s="156">
        <f>(SUMPRODUCT(DCF!$L$45:$S$45,(1+J$22)^(-DCF!$L$46:$S$46))+DCF!$S$25*$C23*(1+J$22)^(-(Inputs!$C$23+DCF!$S$43-1))+SUM(DCF!$E$75:$E$79))/Inputs!$C$31</f>
        <v>110.35568279415909</v>
      </c>
    </row>
    <row r="24" spans="2:14" x14ac:dyDescent="0.35">
      <c r="C24" s="158">
        <f>Drivers!$H$95+(1-2)*$C$20</f>
        <v>7.5</v>
      </c>
      <c r="D24" s="156">
        <f>(SUMPRODUCT(DCF!$L$45:$S$45,(1+D$22)^(-DCF!$L$46:$S$46))+DCF!$S$25*$C24*(1+D$22)^(-(Inputs!$C$23+DCF!$S$43-1))+SUM(DCF!$E$75:$E$79))/Inputs!$C$31</f>
        <v>144.99027352789687</v>
      </c>
      <c r="E24" s="156">
        <f>(SUMPRODUCT(DCF!$L$45:$S$45,(1+E$22)^(-DCF!$L$46:$S$46))+DCF!$S$25*$C24*(1+E$22)^(-(Inputs!$C$23+DCF!$S$43-1))+SUM(DCF!$E$75:$E$79))/Inputs!$C$31</f>
        <v>140.67847939947811</v>
      </c>
      <c r="F24" s="156">
        <f>(SUMPRODUCT(DCF!$L$45:$S$45,(1+F$22)^(-DCF!$L$46:$S$46))+DCF!$S$25*$C24*(1+F$22)^(-(Inputs!$C$23+DCF!$S$43-1))+SUM(DCF!$E$75:$E$79))/Inputs!$C$31</f>
        <v>136.51834491653128</v>
      </c>
      <c r="G24" s="156">
        <f>(SUMPRODUCT(DCF!$L$45:$S$45,(1+G$22)^(-DCF!$L$46:$S$46))+DCF!$S$25*$C24*(1+G$22)^(-(Inputs!$C$23+DCF!$S$43-1))+SUM(DCF!$E$75:$E$79))/Inputs!$C$31</f>
        <v>132.50372717151237</v>
      </c>
      <c r="H24" s="156">
        <f>(SUMPRODUCT(DCF!$L$45:$S$45,(1+H$22)^(-DCF!$L$46:$S$46))+DCF!$S$25*$C24*(1+H$22)^(-(Inputs!$C$23+DCF!$S$43-1))+SUM(DCF!$E$75:$E$79))/Inputs!$C$31</f>
        <v>128.62876135456969</v>
      </c>
      <c r="I24" s="156">
        <f>(SUMPRODUCT(DCF!$L$45:$S$45,(1+I$22)^(-DCF!$L$46:$S$46))+DCF!$S$25*$C24*(1+I$22)^(-(Inputs!$C$23+DCF!$S$43-1))+SUM(DCF!$E$75:$E$79))/Inputs!$C$31</f>
        <v>124.88784690438884</v>
      </c>
      <c r="J24" s="156">
        <f>(SUMPRODUCT(DCF!$L$45:$S$45,(1+J$22)^(-DCF!$L$46:$S$46))+DCF!$S$25*$C24*(1+J$22)^(-(Inputs!$C$23+DCF!$S$43-1))+SUM(DCF!$E$75:$E$79))/Inputs!$C$31</f>
        <v>121.2756344095886</v>
      </c>
    </row>
    <row r="25" spans="2:14" x14ac:dyDescent="0.35">
      <c r="C25" s="158">
        <f>Drivers!$H$95+(2-2)*$C$20</f>
        <v>8.5</v>
      </c>
      <c r="D25" s="156">
        <f>(SUMPRODUCT(DCF!$L$45:$S$45,(1+D$22)^(-DCF!$L$46:$S$46))+DCF!$S$25*$C25*(1+D$22)^(-(Inputs!$C$23+DCF!$S$43-1))+SUM(DCF!$E$75:$E$79))/Inputs!$C$31</f>
        <v>158.33712597148497</v>
      </c>
      <c r="E25" s="156">
        <f>(SUMPRODUCT(DCF!$L$45:$S$45,(1+E$22)^(-DCF!$L$46:$S$46))+DCF!$S$25*$C25*(1+E$22)^(-(Inputs!$C$23+DCF!$S$43-1))+SUM(DCF!$E$75:$E$79))/Inputs!$C$31</f>
        <v>153.58130610733681</v>
      </c>
      <c r="F25" s="156">
        <f>(SUMPRODUCT(DCF!$L$45:$S$45,(1+F$22)^(-DCF!$L$46:$S$46))+DCF!$S$25*$C25*(1+F$22)^(-(Inputs!$C$23+DCF!$S$43-1))+SUM(DCF!$E$75:$E$79))/Inputs!$C$31</f>
        <v>148.99386755211791</v>
      </c>
      <c r="G25" s="157">
        <f>(SUMPRODUCT(DCF!$L$45:$S$45,(1+G$22)^(-DCF!$L$46:$S$46))+DCF!$S$25*$C25*(1+G$22)^(-(Inputs!$C$23+DCF!$S$43-1))+SUM(DCF!$E$75:$E$79))/Inputs!$C$31</f>
        <v>144.56796491384344</v>
      </c>
      <c r="H25" s="156">
        <f>(SUMPRODUCT(DCF!$L$45:$S$45,(1+H$22)^(-DCF!$L$46:$S$46))+DCF!$S$25*$C25*(1+H$22)^(-(Inputs!$C$23+DCF!$S$43-1))+SUM(DCF!$E$75:$E$79))/Inputs!$C$31</f>
        <v>140.29706343898224</v>
      </c>
      <c r="I25" s="156">
        <f>(SUMPRODUCT(DCF!$L$45:$S$45,(1+I$22)^(-DCF!$L$46:$S$46))+DCF!$S$25*$C25*(1+I$22)^(-(Inputs!$C$23+DCF!$S$43-1))+SUM(DCF!$E$75:$E$79))/Inputs!$C$31</f>
        <v>136.17492351688168</v>
      </c>
      <c r="J25" s="156">
        <f>(SUMPRODUCT(DCF!$L$45:$S$45,(1+J$22)^(-DCF!$L$46:$S$46))+DCF!$S$25*$C25*(1+J$22)^(-(Inputs!$C$23+DCF!$S$43-1))+SUM(DCF!$E$75:$E$79))/Inputs!$C$31</f>
        <v>132.19558602501812</v>
      </c>
    </row>
    <row r="26" spans="2:14" x14ac:dyDescent="0.35">
      <c r="C26" s="158">
        <f>Drivers!$H$95+(3-2)*$C$20</f>
        <v>9.5</v>
      </c>
      <c r="D26" s="156">
        <f>(SUMPRODUCT(DCF!$L$45:$S$45,(1+D$22)^(-DCF!$L$46:$S$46))+DCF!$S$25*$C26*(1+D$22)^(-(Inputs!$C$23+DCF!$S$43-1))+SUM(DCF!$E$75:$E$79))/Inputs!$C$31</f>
        <v>171.683978415073</v>
      </c>
      <c r="E26" s="156">
        <f>(SUMPRODUCT(DCF!$L$45:$S$45,(1+E$22)^(-DCF!$L$46:$S$46))+DCF!$S$25*$C26*(1+E$22)^(-(Inputs!$C$23+DCF!$S$43-1))+SUM(DCF!$E$75:$E$79))/Inputs!$C$31</f>
        <v>166.48413281519552</v>
      </c>
      <c r="F26" s="156">
        <f>(SUMPRODUCT(DCF!$L$45:$S$45,(1+F$22)^(-DCF!$L$46:$S$46))+DCF!$S$25*$C26*(1+F$22)^(-(Inputs!$C$23+DCF!$S$43-1))+SUM(DCF!$E$75:$E$79))/Inputs!$C$31</f>
        <v>161.46939018770448</v>
      </c>
      <c r="G26" s="156">
        <f>(SUMPRODUCT(DCF!$L$45:$S$45,(1+G$22)^(-DCF!$L$46:$S$46))+DCF!$S$25*$C26*(1+G$22)^(-(Inputs!$C$23+DCF!$S$43-1))+SUM(DCF!$E$75:$E$79))/Inputs!$C$31</f>
        <v>156.63220265617451</v>
      </c>
      <c r="H26" s="156">
        <f>(SUMPRODUCT(DCF!$L$45:$S$45,(1+H$22)^(-DCF!$L$46:$S$46))+DCF!$S$25*$C26*(1+H$22)^(-(Inputs!$C$23+DCF!$S$43-1))+SUM(DCF!$E$75:$E$79))/Inputs!$C$31</f>
        <v>151.96536552339478</v>
      </c>
      <c r="I26" s="156">
        <f>(SUMPRODUCT(DCF!$L$45:$S$45,(1+I$22)^(-DCF!$L$46:$S$46))+DCF!$S$25*$C26*(1+I$22)^(-(Inputs!$C$23+DCF!$S$43-1))+SUM(DCF!$E$75:$E$79))/Inputs!$C$31</f>
        <v>147.46200012937447</v>
      </c>
      <c r="J26" s="156">
        <f>(SUMPRODUCT(DCF!$L$45:$S$45,(1+J$22)^(-DCF!$L$46:$S$46))+DCF!$S$25*$C26*(1+J$22)^(-(Inputs!$C$23+DCF!$S$43-1))+SUM(DCF!$E$75:$E$79))/Inputs!$C$31</f>
        <v>143.11553764044766</v>
      </c>
    </row>
    <row r="27" spans="2:14" x14ac:dyDescent="0.35">
      <c r="C27" s="158">
        <f>Drivers!$H$95+(4-2)*$C$20</f>
        <v>10.5</v>
      </c>
      <c r="D27" s="156">
        <f>(SUMPRODUCT(DCF!$L$45:$S$45,(1+D$22)^(-DCF!$L$46:$S$46))+DCF!$S$25*$C27*(1+D$22)^(-(Inputs!$C$23+DCF!$S$43-1))+SUM(DCF!$E$75:$E$79))/Inputs!$C$31</f>
        <v>185.03083085866103</v>
      </c>
      <c r="E27" s="156">
        <f>(SUMPRODUCT(DCF!$L$45:$S$45,(1+E$22)^(-DCF!$L$46:$S$46))+DCF!$S$25*$C27*(1+E$22)^(-(Inputs!$C$23+DCF!$S$43-1))+SUM(DCF!$E$75:$E$79))/Inputs!$C$31</f>
        <v>179.3869595230542</v>
      </c>
      <c r="F27" s="156">
        <f>(SUMPRODUCT(DCF!$L$45:$S$45,(1+F$22)^(-DCF!$L$46:$S$46))+DCF!$S$25*$C27*(1+F$22)^(-(Inputs!$C$23+DCF!$S$43-1))+SUM(DCF!$E$75:$E$79))/Inputs!$C$31</f>
        <v>173.94491282329108</v>
      </c>
      <c r="G27" s="156">
        <f>(SUMPRODUCT(DCF!$L$45:$S$45,(1+G$22)^(-DCF!$L$46:$S$46))+DCF!$S$25*$C27*(1+G$22)^(-(Inputs!$C$23+DCF!$S$43-1))+SUM(DCF!$E$75:$E$79))/Inputs!$C$31</f>
        <v>168.69644039850556</v>
      </c>
      <c r="H27" s="156">
        <f>(SUMPRODUCT(DCF!$L$45:$S$45,(1+H$22)^(-DCF!$L$46:$S$46))+DCF!$S$25*$C27*(1+H$22)^(-(Inputs!$C$23+DCF!$S$43-1))+SUM(DCF!$E$75:$E$79))/Inputs!$C$31</f>
        <v>163.6336676078073</v>
      </c>
      <c r="I27" s="156">
        <f>(SUMPRODUCT(DCF!$L$45:$S$45,(1+I$22)^(-DCF!$L$46:$S$46))+DCF!$S$25*$C27*(1+I$22)^(-(Inputs!$C$23+DCF!$S$43-1))+SUM(DCF!$E$75:$E$79))/Inputs!$C$31</f>
        <v>158.74907674186724</v>
      </c>
      <c r="J27" s="156">
        <f>(SUMPRODUCT(DCF!$L$45:$S$45,(1+J$22)^(-DCF!$L$46:$S$46))+DCF!$S$25*$C27*(1+J$22)^(-(Inputs!$C$23+DCF!$S$43-1))+SUM(DCF!$E$75:$E$79))/Inputs!$C$31</f>
        <v>154.03548925587714</v>
      </c>
    </row>
    <row r="29" spans="2:14" x14ac:dyDescent="0.35">
      <c r="B29" s="31" t="s">
        <v>754</v>
      </c>
      <c r="C29" s="31"/>
      <c r="D29" s="31"/>
      <c r="E29" s="31"/>
      <c r="F29" s="31"/>
      <c r="G29" s="31"/>
      <c r="H29" s="31"/>
      <c r="I29" s="31"/>
      <c r="J29" s="31"/>
      <c r="K29" s="31"/>
      <c r="L29" s="31"/>
      <c r="M29" s="31"/>
      <c r="N29" s="31"/>
    </row>
    <row r="30" spans="2:14" x14ac:dyDescent="0.35">
      <c r="B30" s="15" t="s">
        <v>755</v>
      </c>
    </row>
    <row r="32" spans="2:14" x14ac:dyDescent="0.35">
      <c r="C32" s="159">
        <f>DCF!$E$83</f>
        <v>139.11050532301047</v>
      </c>
      <c r="D32" s="160">
        <v>-0.02</v>
      </c>
      <c r="E32" s="160">
        <v>-0.01</v>
      </c>
      <c r="F32" s="160">
        <v>0</v>
      </c>
      <c r="G32" s="160">
        <v>0.01</v>
      </c>
      <c r="H32" s="160">
        <v>0.02</v>
      </c>
    </row>
    <row r="33" spans="2:30" x14ac:dyDescent="0.35">
      <c r="C33" s="160">
        <v>-0.02</v>
      </c>
      <c r="D33" s="156">
        <f t="dataTable" ref="D33:H37" dt2D="1" dtr="1" r1="D6" r2="D5"/>
        <v>76.580856617098078</v>
      </c>
      <c r="E33" s="156">
        <v>84.07236383384955</v>
      </c>
      <c r="F33" s="156">
        <v>91.563871050601023</v>
      </c>
      <c r="G33" s="156">
        <v>99.055378267352481</v>
      </c>
      <c r="H33" s="156">
        <v>106.54688548410394</v>
      </c>
    </row>
    <row r="34" spans="2:30" x14ac:dyDescent="0.35">
      <c r="C34" s="160">
        <v>-0.01</v>
      </c>
      <c r="D34" s="156">
        <v>98.570629411760905</v>
      </c>
      <c r="E34" s="156">
        <v>106.57718151288371</v>
      </c>
      <c r="F34" s="156">
        <v>114.58373361400655</v>
      </c>
      <c r="G34" s="156">
        <v>122.59028571512934</v>
      </c>
      <c r="H34" s="156">
        <v>130.59683781625219</v>
      </c>
    </row>
    <row r="35" spans="2:30" x14ac:dyDescent="0.35">
      <c r="C35" s="160">
        <v>0</v>
      </c>
      <c r="D35" s="156">
        <v>122.00005151418456</v>
      </c>
      <c r="E35" s="156">
        <v>130.55527841859751</v>
      </c>
      <c r="F35" s="156">
        <v>139.11050532301047</v>
      </c>
      <c r="G35" s="156">
        <v>147.6657322274234</v>
      </c>
      <c r="H35" s="156">
        <v>156.22095913183639</v>
      </c>
    </row>
    <row r="36" spans="2:30" x14ac:dyDescent="0.35">
      <c r="C36" s="160">
        <v>0.01</v>
      </c>
      <c r="D36" s="156">
        <v>146.95295410867377</v>
      </c>
      <c r="E36" s="156">
        <v>156.09244244802076</v>
      </c>
      <c r="F36" s="156">
        <v>165.23193078736765</v>
      </c>
      <c r="G36" s="156">
        <v>174.37141912671458</v>
      </c>
      <c r="H36" s="156">
        <v>183.5109074660615</v>
      </c>
    </row>
    <row r="37" spans="2:30" x14ac:dyDescent="0.35">
      <c r="C37" s="160">
        <v>0.02</v>
      </c>
      <c r="D37" s="156">
        <v>173.51729019321235</v>
      </c>
      <c r="E37" s="156">
        <v>183.27867947097678</v>
      </c>
      <c r="F37" s="156">
        <v>193.04006874874128</v>
      </c>
      <c r="G37" s="156">
        <v>202.80145802650574</v>
      </c>
      <c r="H37" s="156">
        <v>212.56284730427021</v>
      </c>
    </row>
    <row r="39" spans="2:30" x14ac:dyDescent="0.35">
      <c r="B39" s="31" t="s">
        <v>756</v>
      </c>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row>
    <row r="40" spans="2:30" ht="36" customHeight="1" x14ac:dyDescent="0.35">
      <c r="B40" s="85"/>
      <c r="C40" s="161" t="s">
        <v>757</v>
      </c>
      <c r="D40" s="162" t="s">
        <v>758</v>
      </c>
      <c r="E40" s="162" t="s">
        <v>759</v>
      </c>
      <c r="F40" s="162" t="s">
        <v>760</v>
      </c>
      <c r="G40" s="162" t="s">
        <v>761</v>
      </c>
      <c r="H40" s="162" t="s">
        <v>762</v>
      </c>
      <c r="I40" s="162" t="s">
        <v>705</v>
      </c>
      <c r="J40" s="162" t="s">
        <v>763</v>
      </c>
      <c r="K40" s="162" t="s">
        <v>764</v>
      </c>
      <c r="L40" s="162" t="s">
        <v>732</v>
      </c>
      <c r="M40" s="162" t="s">
        <v>765</v>
      </c>
      <c r="N40" s="162" t="s">
        <v>738</v>
      </c>
      <c r="O40" s="162" t="str">
        <f>"Revenue "&amp;Model!L$5</f>
        <v>Revenue 2026E</v>
      </c>
      <c r="P40" s="162" t="str">
        <f>"Revenue "&amp;Model!M$5</f>
        <v>Revenue 2027E</v>
      </c>
      <c r="Q40" s="162" t="str">
        <f>"Revenue "&amp;Model!N$5</f>
        <v>Revenue 2028E</v>
      </c>
      <c r="R40" s="162" t="str">
        <f>"Revenue "&amp;Model!O$5</f>
        <v>Revenue 2029E</v>
      </c>
      <c r="S40" s="162" t="str">
        <f>"Revenue "&amp;Model!P$5</f>
        <v>Revenue 2030E</v>
      </c>
      <c r="T40" s="162" t="str">
        <f>"Revenue "&amp;Model!Q$5</f>
        <v>Revenue 2031E</v>
      </c>
      <c r="U40" s="162" t="str">
        <f>"Revenue "&amp;Model!R$5</f>
        <v>Revenue 2032E</v>
      </c>
      <c r="V40" s="162" t="str">
        <f>"Revenue "&amp;Model!S$5</f>
        <v>Revenue 2033E</v>
      </c>
      <c r="W40" s="162" t="str">
        <f>"EBIT adj. "&amp;Model!L$5</f>
        <v>EBIT adj. 2026E</v>
      </c>
      <c r="X40" s="162" t="str">
        <f>"EBIT adj. "&amp;Model!M$5</f>
        <v>EBIT adj. 2027E</v>
      </c>
      <c r="Y40" s="162" t="str">
        <f>"EBIT adj. "&amp;Model!N$5</f>
        <v>EBIT adj. 2028E</v>
      </c>
      <c r="Z40" s="162" t="str">
        <f>"EBIT adj. "&amp;Model!O$5</f>
        <v>EBIT adj. 2029E</v>
      </c>
      <c r="AA40" s="162" t="str">
        <f>"EBIT adj. "&amp;Model!P$5</f>
        <v>EBIT adj. 2030E</v>
      </c>
      <c r="AB40" s="162" t="str">
        <f>"EBIT adj. "&amp;Model!Q$5</f>
        <v>EBIT adj. 2031E</v>
      </c>
      <c r="AC40" s="162" t="str">
        <f>"EBIT adj. "&amp;Model!R$5</f>
        <v>EBIT adj. 2032E</v>
      </c>
      <c r="AD40" s="162" t="str">
        <f>"EBIT adj. "&amp;Model!S$5</f>
        <v>EBIT adj. 2033E</v>
      </c>
    </row>
    <row r="41" spans="2:30" x14ac:dyDescent="0.35">
      <c r="B41" s="15" t="s">
        <v>766</v>
      </c>
      <c r="D41" s="163">
        <f>(Model!$S$67/Model!$K$67)^(1/8)-1</f>
        <v>5.3509445956267498E-2</v>
      </c>
      <c r="E41" s="164">
        <f>Model!$S$67</f>
        <v>8244.1745141924257</v>
      </c>
      <c r="F41" s="163">
        <f>Model!$S$86</f>
        <v>0.19059584681200054</v>
      </c>
      <c r="G41" s="164">
        <f>DCF!$S$35</f>
        <v>1117.701056810384</v>
      </c>
      <c r="H41" s="164">
        <f>DCF!$E$73</f>
        <v>12982.859255649695</v>
      </c>
      <c r="I41" s="165">
        <f>DCF!$E$83</f>
        <v>139.11050532301047</v>
      </c>
      <c r="J41" s="163">
        <f>DCF!$E$85</f>
        <v>0.14025004363123328</v>
      </c>
      <c r="K41" s="165">
        <f>DCF!$E$104</f>
        <v>138.1469113703337</v>
      </c>
      <c r="L41" s="165">
        <f>DCF!$E$109</f>
        <v>146</v>
      </c>
      <c r="M41" s="163">
        <f>DCF!$E$110</f>
        <v>0.19672131147540983</v>
      </c>
      <c r="N41" s="59" t="str">
        <f>DCF!$E$114</f>
        <v>BUY</v>
      </c>
      <c r="O41" s="164">
        <f>Model!$L$67</f>
        <v>5726.4479591482213</v>
      </c>
      <c r="P41" s="164">
        <f>Model!$M$67</f>
        <v>6083.8427205928429</v>
      </c>
      <c r="Q41" s="164">
        <f>Model!$N$67</f>
        <v>6479.0281577074584</v>
      </c>
      <c r="R41" s="164">
        <f>Model!$O$67</f>
        <v>6875.8850742664126</v>
      </c>
      <c r="S41" s="164">
        <f>Model!$P$67</f>
        <v>7257.9391223272778</v>
      </c>
      <c r="T41" s="164">
        <f>Model!$Q$67</f>
        <v>7613.3094600678996</v>
      </c>
      <c r="U41" s="164">
        <f>Model!$R$67</f>
        <v>7938.8226047651588</v>
      </c>
      <c r="V41" s="164">
        <f>Model!$S$67</f>
        <v>8244.1745141924257</v>
      </c>
      <c r="W41" s="164">
        <f>Model!$L$85</f>
        <v>999.59610476470561</v>
      </c>
      <c r="X41" s="164">
        <f>Model!$M$85</f>
        <v>1075.1811604233239</v>
      </c>
      <c r="Y41" s="164">
        <f>Model!$N$85</f>
        <v>1167.7030689374428</v>
      </c>
      <c r="Z41" s="164">
        <f>Model!$O$85</f>
        <v>1261.1225000249665</v>
      </c>
      <c r="AA41" s="164">
        <f>Model!$P$85</f>
        <v>1351.360680543163</v>
      </c>
      <c r="AB41" s="164">
        <f>Model!$Q$85</f>
        <v>1433.454310059584</v>
      </c>
      <c r="AC41" s="164">
        <f>Model!$R$85</f>
        <v>1506.3298479784075</v>
      </c>
      <c r="AD41" s="164">
        <f>Model!$S$85</f>
        <v>1571.3054227984185</v>
      </c>
    </row>
    <row r="42" spans="2:30" x14ac:dyDescent="0.35">
      <c r="B42" s="11" t="s">
        <v>155</v>
      </c>
      <c r="C42" s="166">
        <v>1</v>
      </c>
      <c r="D42" s="167">
        <f t="dataTable" ref="D42:AD44" dt2D="0" dtr="0" r1="D4" ca="1"/>
        <v>1.6950818259172884E-2</v>
      </c>
      <c r="E42" s="168">
        <v>6214.973852094804</v>
      </c>
      <c r="F42" s="167">
        <v>0.11249230306299611</v>
      </c>
      <c r="G42" s="168">
        <v>489.96168020021628</v>
      </c>
      <c r="H42" s="168">
        <v>6394.4535163333294</v>
      </c>
      <c r="I42" s="169">
        <v>62.143148555295909</v>
      </c>
      <c r="J42" s="167">
        <v>-0.49062992987462373</v>
      </c>
      <c r="K42" s="156">
        <v>74.206217197216716</v>
      </c>
      <c r="L42" s="169">
        <v>77</v>
      </c>
      <c r="M42" s="167">
        <v>-0.36885245901639341</v>
      </c>
      <c r="N42" s="170" t="str">
        <v>SELL</v>
      </c>
      <c r="O42" s="168">
        <v>5560.8917778113282</v>
      </c>
      <c r="P42" s="168">
        <v>5707.9663561683392</v>
      </c>
      <c r="Q42" s="168">
        <v>5860.3254482267375</v>
      </c>
      <c r="R42" s="168">
        <v>5994.7705419172635</v>
      </c>
      <c r="S42" s="168">
        <v>6101.3719240787914</v>
      </c>
      <c r="T42" s="168">
        <v>6171.8588843218986</v>
      </c>
      <c r="U42" s="168">
        <v>6206.2076731366133</v>
      </c>
      <c r="V42" s="168">
        <v>6214.973852094804</v>
      </c>
      <c r="W42" s="168">
        <v>823.64511606622693</v>
      </c>
      <c r="X42" s="168">
        <v>820.96061680481432</v>
      </c>
      <c r="Y42" s="168">
        <v>821.4295622323209</v>
      </c>
      <c r="Z42" s="168">
        <v>815.26621648392666</v>
      </c>
      <c r="AA42" s="168">
        <v>801.56216738875503</v>
      </c>
      <c r="AB42" s="168">
        <v>777.18849330043292</v>
      </c>
      <c r="AC42" s="168">
        <v>742.5396987769858</v>
      </c>
      <c r="AD42" s="168">
        <v>699.13672209844503</v>
      </c>
    </row>
    <row r="43" spans="2:30" x14ac:dyDescent="0.35">
      <c r="B43" s="11" t="s">
        <v>158</v>
      </c>
      <c r="C43" s="166">
        <v>2</v>
      </c>
      <c r="D43" s="167">
        <v>5.3509445956267498E-2</v>
      </c>
      <c r="E43" s="168">
        <v>8244.1745141924257</v>
      </c>
      <c r="F43" s="167">
        <v>0.19059584681200054</v>
      </c>
      <c r="G43" s="168">
        <v>1117.701056810384</v>
      </c>
      <c r="H43" s="168">
        <v>12982.859255649695</v>
      </c>
      <c r="I43" s="169">
        <v>139.11050532301047</v>
      </c>
      <c r="J43" s="167">
        <v>0.14025004363123328</v>
      </c>
      <c r="K43" s="156">
        <v>138.1469113703337</v>
      </c>
      <c r="L43" s="169">
        <v>146</v>
      </c>
      <c r="M43" s="167">
        <v>0.19672131147540983</v>
      </c>
      <c r="N43" s="170" t="str">
        <v>BUY</v>
      </c>
      <c r="O43" s="168">
        <v>5726.4479591482213</v>
      </c>
      <c r="P43" s="168">
        <v>6083.8427205928429</v>
      </c>
      <c r="Q43" s="168">
        <v>6479.0281577074584</v>
      </c>
      <c r="R43" s="168">
        <v>6875.8850742664126</v>
      </c>
      <c r="S43" s="168">
        <v>7257.9391223272778</v>
      </c>
      <c r="T43" s="168">
        <v>7613.3094600678996</v>
      </c>
      <c r="U43" s="168">
        <v>7938.8226047651588</v>
      </c>
      <c r="V43" s="168">
        <v>8244.1745141924257</v>
      </c>
      <c r="W43" s="168">
        <v>999.59610476470561</v>
      </c>
      <c r="X43" s="168">
        <v>1075.1811604233239</v>
      </c>
      <c r="Y43" s="168">
        <v>1167.7030689374428</v>
      </c>
      <c r="Z43" s="168">
        <v>1261.1225000249665</v>
      </c>
      <c r="AA43" s="168">
        <v>1351.360680543163</v>
      </c>
      <c r="AB43" s="168">
        <v>1433.454310059584</v>
      </c>
      <c r="AC43" s="168">
        <v>1506.3298479784075</v>
      </c>
      <c r="AD43" s="168">
        <v>1571.3054227984185</v>
      </c>
    </row>
    <row r="44" spans="2:30" x14ac:dyDescent="0.35">
      <c r="B44" s="11" t="s">
        <v>161</v>
      </c>
      <c r="C44" s="166">
        <v>3</v>
      </c>
      <c r="D44" s="167">
        <v>7.9575346494866084E-2</v>
      </c>
      <c r="E44" s="168">
        <v>10024.515035978922</v>
      </c>
      <c r="F44" s="167">
        <v>0.23052423962317803</v>
      </c>
      <c r="G44" s="168">
        <v>1625.1492021194622</v>
      </c>
      <c r="H44" s="168">
        <v>18322.600238834886</v>
      </c>
      <c r="I44" s="169">
        <v>201.49065699573467</v>
      </c>
      <c r="J44" s="167">
        <v>0.65156276226012033</v>
      </c>
      <c r="K44" s="156">
        <v>188.0828191024064</v>
      </c>
      <c r="L44" s="169">
        <v>200</v>
      </c>
      <c r="M44" s="167">
        <v>0.63934426229508201</v>
      </c>
      <c r="N44" s="170" t="str">
        <v>BUY</v>
      </c>
      <c r="O44" s="168">
        <v>5838.0620028520307</v>
      </c>
      <c r="P44" s="168">
        <v>6354.5034026602962</v>
      </c>
      <c r="Q44" s="168">
        <v>6946.0878763024712</v>
      </c>
      <c r="R44" s="168">
        <v>7565.5212205909147</v>
      </c>
      <c r="S44" s="168">
        <v>8191.5010255511797</v>
      </c>
      <c r="T44" s="168">
        <v>8810.6366337690451</v>
      </c>
      <c r="U44" s="168">
        <v>9418.3734751725551</v>
      </c>
      <c r="V44" s="168">
        <v>10024.515035978922</v>
      </c>
      <c r="W44" s="168">
        <v>1098.797328322732</v>
      </c>
      <c r="X44" s="168">
        <v>1232.1826566308257</v>
      </c>
      <c r="Y44" s="168">
        <v>1399.1538238281073</v>
      </c>
      <c r="Z44" s="168">
        <v>1578.1810977932191</v>
      </c>
      <c r="AA44" s="168">
        <v>1762.7631740148793</v>
      </c>
      <c r="AB44" s="168">
        <v>1947.0685767501786</v>
      </c>
      <c r="AC44" s="168">
        <v>2129.3004805520022</v>
      </c>
      <c r="AD44" s="168">
        <v>2310.8937062601563</v>
      </c>
    </row>
    <row r="46" spans="2:30" x14ac:dyDescent="0.35">
      <c r="B46" s="11" t="s">
        <v>767</v>
      </c>
      <c r="I46" s="171">
        <f>I42*Drivers!$E$53+I43*Drivers!$F$53+I44*Drivers!$G$53</f>
        <v>135.46370404926287</v>
      </c>
    </row>
    <row r="47" spans="2:30" x14ac:dyDescent="0.35">
      <c r="B47" s="11" t="s">
        <v>768</v>
      </c>
      <c r="L47" s="171">
        <f>L42*Drivers!$E$53+L43*Drivers!$F$53+L44*Drivers!$G$53</f>
        <v>142.25</v>
      </c>
    </row>
    <row r="48" spans="2:30" x14ac:dyDescent="0.35">
      <c r="B48" s="15" t="s">
        <v>769</v>
      </c>
    </row>
    <row r="51" spans="2:14" x14ac:dyDescent="0.35">
      <c r="B51" s="31" t="s">
        <v>770</v>
      </c>
      <c r="C51" s="31"/>
      <c r="D51" s="31"/>
      <c r="E51" s="31"/>
      <c r="F51" s="31"/>
      <c r="G51" s="31"/>
      <c r="H51" s="31"/>
      <c r="I51" s="31"/>
      <c r="J51" s="31"/>
      <c r="K51" s="31"/>
      <c r="L51" s="31"/>
      <c r="M51" s="31"/>
      <c r="N51" s="31"/>
    </row>
    <row r="52" spans="2:14" x14ac:dyDescent="0.35">
      <c r="B52" s="15" t="s">
        <v>771</v>
      </c>
    </row>
    <row r="53" spans="2:14" ht="26" customHeight="1" x14ac:dyDescent="0.35">
      <c r="B53" s="85"/>
      <c r="C53" s="162" t="s">
        <v>772</v>
      </c>
      <c r="D53" s="162" t="s">
        <v>705</v>
      </c>
      <c r="E53" s="162" t="s">
        <v>773</v>
      </c>
      <c r="F53" s="162" t="str">
        <f>"EBIT adj. margin "&amp;Model!S$5</f>
        <v>EBIT adj. margin 2033E</v>
      </c>
    </row>
    <row r="54" spans="2:14" x14ac:dyDescent="0.35">
      <c r="B54" s="15" t="s">
        <v>774</v>
      </c>
      <c r="D54" s="165">
        <f>DCF!$E$83</f>
        <v>139.11050532301047</v>
      </c>
      <c r="E54" s="163">
        <f>(Model!$S$67/Model!$K$67)^(1/8)-1</f>
        <v>5.3509445956267498E-2</v>
      </c>
      <c r="F54" s="163">
        <f>Model!$S$86</f>
        <v>0.19059584681200054</v>
      </c>
    </row>
    <row r="55" spans="2:14" x14ac:dyDescent="0.35">
      <c r="C55" s="172">
        <v>-0.1</v>
      </c>
      <c r="D55" s="156">
        <f t="dataTable" ref="D55:F87" dt2D="0" dtr="0" r1="D5" ca="1"/>
        <v>-47.578359663695693</v>
      </c>
      <c r="E55" s="167">
        <v>-5.116890060387147E-2</v>
      </c>
      <c r="F55" s="167">
        <v>-0.14042536260495878</v>
      </c>
    </row>
    <row r="56" spans="2:14" x14ac:dyDescent="0.35">
      <c r="C56" s="172">
        <v>-9.5000000000000001E-2</v>
      </c>
      <c r="D56" s="156">
        <v>-40.863486439599029</v>
      </c>
      <c r="E56" s="167">
        <v>-4.5934989097975221E-2</v>
      </c>
      <c r="F56" s="167">
        <v>-0.11529378500253522</v>
      </c>
    </row>
    <row r="57" spans="2:14" x14ac:dyDescent="0.35">
      <c r="C57" s="172">
        <v>-0.09</v>
      </c>
      <c r="D57" s="156">
        <v>-33.920364397864184</v>
      </c>
      <c r="E57" s="167">
        <v>-4.0701076918837065E-2</v>
      </c>
      <c r="F57" s="167">
        <v>-9.137292859140593E-2</v>
      </c>
    </row>
    <row r="58" spans="2:14" x14ac:dyDescent="0.35">
      <c r="C58" s="172">
        <v>-8.5000000000000006E-2</v>
      </c>
      <c r="D58" s="156">
        <v>-26.7419294469933</v>
      </c>
      <c r="E58" s="167">
        <v>-3.5467164077452984E-2</v>
      </c>
      <c r="F58" s="167">
        <v>-6.8598332038100895E-2</v>
      </c>
    </row>
    <row r="59" spans="2:14" x14ac:dyDescent="0.35">
      <c r="C59" s="172">
        <v>-0.08</v>
      </c>
      <c r="D59" s="156">
        <v>-19.320930409406738</v>
      </c>
      <c r="E59" s="167">
        <v>-3.0233250584581151E-2</v>
      </c>
      <c r="F59" s="167">
        <v>-4.6909289206904077E-2</v>
      </c>
    </row>
    <row r="60" spans="2:14" x14ac:dyDescent="0.35">
      <c r="C60" s="172">
        <v>-7.4999999999999997E-2</v>
      </c>
      <c r="D60" s="156">
        <v>-11.649925017573478</v>
      </c>
      <c r="E60" s="167">
        <v>-2.4999336450747811E-2</v>
      </c>
      <c r="F60" s="167">
        <v>-2.6248611775048163E-2</v>
      </c>
    </row>
    <row r="61" spans="2:14" x14ac:dyDescent="0.35">
      <c r="C61" s="172">
        <v>-7.0000000000000007E-2</v>
      </c>
      <c r="D61" s="156">
        <v>-3.7212758456778952</v>
      </c>
      <c r="E61" s="167">
        <v>-1.9765421686253837E-2</v>
      </c>
      <c r="F61" s="167">
        <v>-6.5624080192297433E-3</v>
      </c>
    </row>
    <row r="62" spans="2:14" x14ac:dyDescent="0.35">
      <c r="C62" s="172">
        <v>-6.5000000000000002E-2</v>
      </c>
      <c r="D62" s="156">
        <v>4.4728538238738782</v>
      </c>
      <c r="E62" s="167">
        <v>-1.4531506301180275E-2</v>
      </c>
      <c r="F62" s="167">
        <v>1.2200123406738136E-2</v>
      </c>
    </row>
    <row r="63" spans="2:14" x14ac:dyDescent="0.35">
      <c r="C63" s="172">
        <v>-0.06</v>
      </c>
      <c r="D63" s="156">
        <v>12.940504199798642</v>
      </c>
      <c r="E63" s="167">
        <v>-9.2975903053947873E-3</v>
      </c>
      <c r="F63" s="167">
        <v>3.0086885791494229E-2</v>
      </c>
    </row>
    <row r="64" spans="2:14" x14ac:dyDescent="0.35">
      <c r="C64" s="172">
        <v>-5.5E-2</v>
      </c>
      <c r="D64" s="156">
        <v>21.689923247835349</v>
      </c>
      <c r="E64" s="167">
        <v>-4.0636737085566477E-3</v>
      </c>
      <c r="F64" s="167">
        <v>4.714306378707693E-2</v>
      </c>
    </row>
    <row r="65" spans="3:6" x14ac:dyDescent="0.35">
      <c r="C65" s="172">
        <v>-0.05</v>
      </c>
      <c r="D65" s="156">
        <v>30.729571023898671</v>
      </c>
      <c r="E65" s="167">
        <v>1.1702434798772643E-3</v>
      </c>
      <c r="F65" s="167">
        <v>6.3411290858085612E-2</v>
      </c>
    </row>
    <row r="66" spans="3:6" x14ac:dyDescent="0.35">
      <c r="C66" s="172">
        <v>-4.4999999999999998E-2</v>
      </c>
      <c r="D66" s="156">
        <v>40.068124075195456</v>
      </c>
      <c r="E66" s="167">
        <v>6.4041612506475776E-3</v>
      </c>
      <c r="F66" s="167">
        <v>7.8931805614910824E-2</v>
      </c>
    </row>
    <row r="67" spans="3:6" x14ac:dyDescent="0.35">
      <c r="C67" s="172">
        <v>-0.04</v>
      </c>
      <c r="D67" s="156">
        <v>49.71447991001363</v>
      </c>
      <c r="E67" s="167">
        <v>1.1638079594687101E-2</v>
      </c>
      <c r="F67" s="167">
        <v>9.3742597821663595E-2</v>
      </c>
    </row>
    <row r="68" spans="3:6" x14ac:dyDescent="0.35">
      <c r="C68" s="172">
        <v>-3.5000000000000003E-2</v>
      </c>
      <c r="D68" s="156">
        <v>59.677761536897094</v>
      </c>
      <c r="E68" s="167">
        <v>1.6871998503115604E-2</v>
      </c>
      <c r="F68" s="167">
        <v>0.10787954480948823</v>
      </c>
    </row>
    <row r="69" spans="3:6" x14ac:dyDescent="0.35">
      <c r="C69" s="172">
        <v>-0.03</v>
      </c>
      <c r="D69" s="156">
        <v>69.967322073925885</v>
      </c>
      <c r="E69" s="167">
        <v>2.2105917967236044E-2</v>
      </c>
      <c r="F69" s="167">
        <v>0.12137653897082409</v>
      </c>
    </row>
    <row r="70" spans="3:6" x14ac:dyDescent="0.35">
      <c r="C70" s="172">
        <v>-2.5000000000000001E-2</v>
      </c>
      <c r="D70" s="156">
        <v>80.592749428820895</v>
      </c>
      <c r="E70" s="167">
        <v>2.7339837978528347E-2</v>
      </c>
      <c r="F70" s="167">
        <v>0.1342656069594694</v>
      </c>
    </row>
    <row r="71" spans="3:6" x14ac:dyDescent="0.35">
      <c r="C71" s="172">
        <v>-0.02</v>
      </c>
      <c r="D71" s="156">
        <v>91.563871050601023</v>
      </c>
      <c r="E71" s="167">
        <v>3.2573758528646302E-2</v>
      </c>
      <c r="F71" s="167">
        <v>0.14657702117463639</v>
      </c>
    </row>
    <row r="72" spans="3:6" x14ac:dyDescent="0.35">
      <c r="C72" s="172">
        <v>-1.4999999999999999E-2</v>
      </c>
      <c r="D72" s="156">
        <v>102.89075875351824</v>
      </c>
      <c r="E72" s="167">
        <v>3.7807679609412226E-2</v>
      </c>
      <c r="F72" s="167">
        <v>0.15833940406420882</v>
      </c>
    </row>
    <row r="73" spans="3:6" x14ac:dyDescent="0.35">
      <c r="C73" s="172">
        <v>-0.01</v>
      </c>
      <c r="D73" s="156">
        <v>114.58373361400655</v>
      </c>
      <c r="E73" s="167">
        <v>4.3041601212813196E-2</v>
      </c>
      <c r="F73" s="167">
        <v>0.16957982574284503</v>
      </c>
    </row>
    <row r="74" spans="3:6" x14ac:dyDescent="0.35">
      <c r="C74" s="172">
        <v>-5.0000000000000001E-3</v>
      </c>
      <c r="D74" s="156">
        <v>126.6533709413783</v>
      </c>
      <c r="E74" s="167">
        <v>4.8275523330996828E-2</v>
      </c>
      <c r="F74" s="167">
        <v>0.18032389538408441</v>
      </c>
    </row>
    <row r="75" spans="3:6" x14ac:dyDescent="0.35">
      <c r="C75" s="172">
        <v>0</v>
      </c>
      <c r="D75" s="156">
        <v>139.11050532301047</v>
      </c>
      <c r="E75" s="167">
        <v>5.3509445956267498E-2</v>
      </c>
      <c r="F75" s="167">
        <v>0.19059584681200054</v>
      </c>
    </row>
    <row r="76" spans="3:6" x14ac:dyDescent="0.35">
      <c r="C76" s="172">
        <v>5.0000000000000001E-3</v>
      </c>
      <c r="D76" s="156">
        <v>151.96623574476138</v>
      </c>
      <c r="E76" s="167">
        <v>5.8743369081081465E-2</v>
      </c>
      <c r="F76" s="167">
        <v>0.20041861868692473</v>
      </c>
    </row>
    <row r="77" spans="3:6" x14ac:dyDescent="0.35">
      <c r="C77" s="172">
        <v>0.01</v>
      </c>
      <c r="D77" s="156">
        <v>165.23193078736765</v>
      </c>
      <c r="E77" s="167">
        <v>6.3977292698044641E-2</v>
      </c>
      <c r="F77" s="167">
        <v>0.2098139296511608</v>
      </c>
    </row>
    <row r="78" spans="3:6" x14ac:dyDescent="0.35">
      <c r="C78" s="172">
        <v>1.4999999999999999E-2</v>
      </c>
      <c r="D78" s="156">
        <v>178.91923389957327</v>
      </c>
      <c r="E78" s="167">
        <v>6.9211216799907938E-2</v>
      </c>
      <c r="F78" s="167">
        <v>0.21880234877419674</v>
      </c>
    </row>
    <row r="79" spans="3:6" x14ac:dyDescent="0.35">
      <c r="C79" s="172">
        <v>0.02</v>
      </c>
      <c r="D79" s="156">
        <v>193.04006874874128</v>
      </c>
      <c r="E79" s="167">
        <v>7.4445141379563706E-2</v>
      </c>
      <c r="F79" s="167">
        <v>0.22740336161253261</v>
      </c>
    </row>
    <row r="80" spans="3:6" x14ac:dyDescent="0.35">
      <c r="C80" s="172">
        <v>2.5000000000000001E-2</v>
      </c>
      <c r="D80" s="156">
        <v>207.60664464971194</v>
      </c>
      <c r="E80" s="167">
        <v>7.9679066430042855E-2</v>
      </c>
      <c r="F80" s="167">
        <v>0.23563543217672314</v>
      </c>
    </row>
    <row r="81" spans="3:6" x14ac:dyDescent="0.35">
      <c r="C81" s="172">
        <v>0.03</v>
      </c>
      <c r="D81" s="156">
        <v>222.6314620726659</v>
      </c>
      <c r="E81" s="167">
        <v>8.4912991944510852E-2</v>
      </c>
      <c r="F81" s="167">
        <v>0.24351606107741097</v>
      </c>
    </row>
    <row r="82" spans="3:6" x14ac:dyDescent="0.35">
      <c r="C82" s="172">
        <v>3.5000000000000003E-2</v>
      </c>
      <c r="D82" s="156">
        <v>238.12731823075887</v>
      </c>
      <c r="E82" s="167">
        <v>9.0146917916264835E-2</v>
      </c>
      <c r="F82" s="167">
        <v>0.25106184010288218</v>
      </c>
    </row>
    <row r="83" spans="3:6" x14ac:dyDescent="0.35">
      <c r="C83" s="172">
        <v>0.04</v>
      </c>
      <c r="D83" s="156">
        <v>254.10731274829863</v>
      </c>
      <c r="E83" s="167">
        <v>9.5380844338730952E-2</v>
      </c>
      <c r="F83" s="167">
        <v>0.25828850346288329</v>
      </c>
    </row>
    <row r="84" spans="3:6" x14ac:dyDescent="0.35">
      <c r="C84" s="172">
        <v>4.4999999999999998E-2</v>
      </c>
      <c r="D84" s="156">
        <v>270.58485341023709</v>
      </c>
      <c r="E84" s="167">
        <v>0.1006147712054597</v>
      </c>
      <c r="F84" s="167">
        <v>0.26521097591696552</v>
      </c>
    </row>
    <row r="85" spans="3:6" x14ac:dyDescent="0.35">
      <c r="C85" s="172">
        <v>0.05</v>
      </c>
      <c r="D85" s="156">
        <v>287.57366199375423</v>
      </c>
      <c r="E85" s="167">
        <v>0.10584869851012546</v>
      </c>
      <c r="F85" s="167">
        <v>0.27184341799038625</v>
      </c>
    </row>
    <row r="86" spans="3:6" x14ac:dyDescent="0.35">
      <c r="C86" s="172">
        <v>5.5E-2</v>
      </c>
      <c r="D86" s="156">
        <v>305.08778018271306</v>
      </c>
      <c r="E86" s="167">
        <v>0.11108262624652077</v>
      </c>
      <c r="F86" s="167">
        <v>0.27819926846648707</v>
      </c>
    </row>
    <row r="87" spans="3:6" x14ac:dyDescent="0.35">
      <c r="C87" s="172">
        <v>0.06</v>
      </c>
      <c r="D87" s="156">
        <v>323.14157556577379</v>
      </c>
      <c r="E87" s="167">
        <v>0.11631655440855537</v>
      </c>
      <c r="F87" s="167">
        <v>0.28429128433139766</v>
      </c>
    </row>
  </sheetData>
  <conditionalFormatting sqref="D33:H37">
    <cfRule type="colorScale" priority="3">
      <colorScale>
        <cfvo type="min"/>
        <cfvo type="percentile" val="50"/>
        <cfvo type="max"/>
        <color rgb="FFF8CBAD"/>
        <color rgb="FFFFFFFF"/>
        <color rgb="FFC6E0B4"/>
      </colorScale>
    </cfRule>
  </conditionalFormatting>
  <conditionalFormatting sqref="D13:J17">
    <cfRule type="colorScale" priority="1">
      <colorScale>
        <cfvo type="min"/>
        <cfvo type="percentile" val="50"/>
        <cfvo type="max"/>
        <color rgb="FFF8CBAD"/>
        <color rgb="FFFFFFFF"/>
        <color rgb="FFC6E0B4"/>
      </colorScale>
    </cfRule>
  </conditionalFormatting>
  <conditionalFormatting sqref="D23:J27">
    <cfRule type="colorScale" priority="2">
      <colorScale>
        <cfvo type="min"/>
        <cfvo type="percentile" val="50"/>
        <cfvo type="max"/>
        <color rgb="FFF8CBAD"/>
        <color rgb="FFFFFFFF"/>
        <color rgb="FFC6E0B4"/>
      </colorScale>
    </cfRule>
  </conditionalFormatting>
  <printOptions horizontalCentered="1"/>
  <pageMargins left="0.4" right="0.4" top="1" bottom="1" header="0.5" footer="0.5"/>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3255"/>
    <pageSetUpPr fitToPage="1"/>
  </sheetPr>
  <dimension ref="B1:S38"/>
  <sheetViews>
    <sheetView showGridLines="0" zoomScale="90" workbookViewId="0">
      <pane xSplit="2" ySplit="5" topLeftCell="C6" activePane="bottomRight" state="frozen"/>
      <selection pane="topRight"/>
      <selection pane="bottomLeft"/>
      <selection pane="bottomRight"/>
    </sheetView>
  </sheetViews>
  <sheetFormatPr defaultRowHeight="14.5" x14ac:dyDescent="0.35"/>
  <cols>
    <col min="1" max="1" width="2" customWidth="1"/>
    <col min="2" max="2" width="38" customWidth="1"/>
    <col min="3" max="3" width="10" customWidth="1"/>
    <col min="4" max="5" width="11" customWidth="1"/>
    <col min="6" max="17" width="8.453125" customWidth="1"/>
    <col min="18" max="19" width="11" customWidth="1"/>
  </cols>
  <sheetData>
    <row r="1" spans="2:19" ht="24" customHeight="1" x14ac:dyDescent="0.4">
      <c r="B1" s="30" t="s">
        <v>775</v>
      </c>
      <c r="S1" s="54" t="str">
        <f>Inputs!$C$6&amp;"  |  Scenario: "&amp;Inputs!$C$53</f>
        <v>Example Company ASA  |  Scenario: Base</v>
      </c>
    </row>
    <row r="2" spans="2:19" x14ac:dyDescent="0.35">
      <c r="B2" s="15" t="s">
        <v>776</v>
      </c>
    </row>
    <row r="4" spans="2:19" x14ac:dyDescent="0.35">
      <c r="D4" s="173" t="s">
        <v>777</v>
      </c>
      <c r="E4" s="173" t="s">
        <v>778</v>
      </c>
      <c r="F4" s="256" t="s">
        <v>779</v>
      </c>
      <c r="G4" s="253"/>
      <c r="H4" s="253"/>
      <c r="I4" s="256" t="s">
        <v>780</v>
      </c>
      <c r="J4" s="253"/>
      <c r="K4" s="253"/>
      <c r="L4" s="256" t="s">
        <v>781</v>
      </c>
      <c r="M4" s="253"/>
      <c r="N4" s="253"/>
      <c r="O4" s="256" t="s">
        <v>782</v>
      </c>
      <c r="P4" s="253"/>
      <c r="Q4" s="253"/>
      <c r="R4" s="173" t="s">
        <v>783</v>
      </c>
      <c r="S4" s="173" t="s">
        <v>784</v>
      </c>
    </row>
    <row r="5" spans="2:19" x14ac:dyDescent="0.35">
      <c r="B5" s="174" t="s">
        <v>785</v>
      </c>
      <c r="C5" s="174" t="s">
        <v>600</v>
      </c>
      <c r="D5" s="175" t="s">
        <v>167</v>
      </c>
      <c r="E5" s="175" t="s">
        <v>167</v>
      </c>
      <c r="F5" s="176" t="str">
        <f>Model!L$5</f>
        <v>2026E</v>
      </c>
      <c r="G5" s="176" t="str">
        <f>Model!M$5</f>
        <v>2027E</v>
      </c>
      <c r="H5" s="176" t="str">
        <f>Model!N$5</f>
        <v>2028E</v>
      </c>
      <c r="I5" s="176" t="str">
        <f>Model!L$5</f>
        <v>2026E</v>
      </c>
      <c r="J5" s="176" t="str">
        <f>Model!M$5</f>
        <v>2027E</v>
      </c>
      <c r="K5" s="176" t="str">
        <f>Model!N$5</f>
        <v>2028E</v>
      </c>
      <c r="L5" s="176" t="str">
        <f>Model!L$5</f>
        <v>2026E</v>
      </c>
      <c r="M5" s="176" t="str">
        <f>Model!M$5</f>
        <v>2027E</v>
      </c>
      <c r="N5" s="176" t="str">
        <f>Model!N$5</f>
        <v>2028E</v>
      </c>
      <c r="O5" s="176" t="str">
        <f>Model!L$5</f>
        <v>2026E</v>
      </c>
      <c r="P5" s="176" t="str">
        <f>Model!M$5</f>
        <v>2027E</v>
      </c>
      <c r="Q5" s="176" t="str">
        <f>Model!N$5</f>
        <v>2028E</v>
      </c>
      <c r="R5" s="176" t="str">
        <f>Model!M$5</f>
        <v>2027E</v>
      </c>
      <c r="S5" s="176" t="str">
        <f>Model!M$5</f>
        <v>2027E</v>
      </c>
    </row>
    <row r="6" spans="2:19" x14ac:dyDescent="0.35">
      <c r="B6" s="177" t="s">
        <v>786</v>
      </c>
      <c r="C6" s="178" t="s">
        <v>787</v>
      </c>
      <c r="D6" s="89">
        <v>18500</v>
      </c>
      <c r="E6" s="89">
        <v>21400</v>
      </c>
      <c r="F6" s="95">
        <v>2.2999999999999998</v>
      </c>
      <c r="G6" s="95">
        <v>2.1</v>
      </c>
      <c r="H6" s="95">
        <v>2</v>
      </c>
      <c r="I6" s="91">
        <v>8.9</v>
      </c>
      <c r="J6" s="91">
        <v>8.1999999999999993</v>
      </c>
      <c r="K6" s="91">
        <v>7.6</v>
      </c>
      <c r="L6" s="91">
        <v>15.1</v>
      </c>
      <c r="M6" s="91">
        <v>13.6</v>
      </c>
      <c r="N6" s="91">
        <v>12.4</v>
      </c>
      <c r="O6" s="91">
        <v>18.2</v>
      </c>
      <c r="P6" s="91">
        <v>16.399999999999999</v>
      </c>
      <c r="Q6" s="91">
        <v>14.9</v>
      </c>
      <c r="R6" s="87">
        <v>0.152</v>
      </c>
      <c r="S6" s="87">
        <v>7.0999999999999994E-2</v>
      </c>
    </row>
    <row r="7" spans="2:19" x14ac:dyDescent="0.35">
      <c r="B7" s="177" t="s">
        <v>788</v>
      </c>
      <c r="C7" s="178" t="s">
        <v>789</v>
      </c>
      <c r="D7" s="89">
        <v>24300</v>
      </c>
      <c r="E7" s="89">
        <v>27900</v>
      </c>
      <c r="F7" s="95">
        <v>2</v>
      </c>
      <c r="G7" s="95">
        <v>1.9</v>
      </c>
      <c r="H7" s="95">
        <v>1.8</v>
      </c>
      <c r="I7" s="91">
        <v>8.1</v>
      </c>
      <c r="J7" s="91">
        <v>7.6</v>
      </c>
      <c r="K7" s="91">
        <v>7.1</v>
      </c>
      <c r="L7" s="91">
        <v>14.2</v>
      </c>
      <c r="M7" s="91">
        <v>12.9</v>
      </c>
      <c r="N7" s="91">
        <v>11.9</v>
      </c>
      <c r="O7" s="91">
        <v>17.100000000000001</v>
      </c>
      <c r="P7" s="91">
        <v>15.5</v>
      </c>
      <c r="Q7" s="91">
        <v>14.2</v>
      </c>
      <c r="R7" s="87">
        <v>0.14599999999999999</v>
      </c>
      <c r="S7" s="87">
        <v>5.8000000000000003E-2</v>
      </c>
    </row>
    <row r="8" spans="2:19" x14ac:dyDescent="0.35">
      <c r="B8" s="177" t="s">
        <v>790</v>
      </c>
      <c r="C8" s="178" t="s">
        <v>791</v>
      </c>
      <c r="D8" s="89">
        <v>9800</v>
      </c>
      <c r="E8" s="89">
        <v>11900</v>
      </c>
      <c r="F8" s="95">
        <v>1.6</v>
      </c>
      <c r="G8" s="95">
        <v>1.5</v>
      </c>
      <c r="H8" s="95">
        <v>1.4</v>
      </c>
      <c r="I8" s="91">
        <v>7.2</v>
      </c>
      <c r="J8" s="91">
        <v>6.7</v>
      </c>
      <c r="K8" s="91">
        <v>6.3</v>
      </c>
      <c r="L8" s="91">
        <v>12.8</v>
      </c>
      <c r="M8" s="91">
        <v>11.6</v>
      </c>
      <c r="N8" s="91">
        <v>10.8</v>
      </c>
      <c r="O8" s="91">
        <v>15</v>
      </c>
      <c r="P8" s="91">
        <v>13.7</v>
      </c>
      <c r="Q8" s="91">
        <v>12.6</v>
      </c>
      <c r="R8" s="87">
        <v>0.128</v>
      </c>
      <c r="S8" s="87">
        <v>4.9000000000000002E-2</v>
      </c>
    </row>
    <row r="9" spans="2:19" x14ac:dyDescent="0.35">
      <c r="B9" s="177" t="s">
        <v>792</v>
      </c>
      <c r="C9" s="178" t="s">
        <v>793</v>
      </c>
      <c r="D9" s="89">
        <v>6400</v>
      </c>
      <c r="E9" s="89">
        <v>8300</v>
      </c>
      <c r="F9" s="95">
        <v>1.3</v>
      </c>
      <c r="G9" s="95">
        <v>1.2</v>
      </c>
      <c r="H9" s="95">
        <v>1.2</v>
      </c>
      <c r="I9" s="91">
        <v>6.5</v>
      </c>
      <c r="J9" s="91">
        <v>6</v>
      </c>
      <c r="K9" s="91">
        <v>5.7</v>
      </c>
      <c r="L9" s="91">
        <v>11.6</v>
      </c>
      <c r="M9" s="91">
        <v>10.6</v>
      </c>
      <c r="N9" s="91">
        <v>9.9</v>
      </c>
      <c r="O9" s="91">
        <v>13.4</v>
      </c>
      <c r="P9" s="91">
        <v>12.1</v>
      </c>
      <c r="Q9" s="91">
        <v>11.2</v>
      </c>
      <c r="R9" s="87">
        <v>0.112</v>
      </c>
      <c r="S9" s="87">
        <v>4.1000000000000002E-2</v>
      </c>
    </row>
    <row r="10" spans="2:19" x14ac:dyDescent="0.35">
      <c r="B10" s="177" t="s">
        <v>794</v>
      </c>
      <c r="C10" s="178" t="s">
        <v>789</v>
      </c>
      <c r="D10" s="89">
        <v>31200</v>
      </c>
      <c r="E10" s="89">
        <v>33800</v>
      </c>
      <c r="F10" s="95">
        <v>2.6</v>
      </c>
      <c r="G10" s="95">
        <v>2.4</v>
      </c>
      <c r="H10" s="95">
        <v>2.2000000000000002</v>
      </c>
      <c r="I10" s="91">
        <v>10.199999999999999</v>
      </c>
      <c r="J10" s="91">
        <v>9.3000000000000007</v>
      </c>
      <c r="K10" s="91">
        <v>8.6</v>
      </c>
      <c r="L10" s="91">
        <v>17.399999999999999</v>
      </c>
      <c r="M10" s="91">
        <v>15.6</v>
      </c>
      <c r="N10" s="91">
        <v>14.2</v>
      </c>
      <c r="O10" s="91">
        <v>21.3</v>
      </c>
      <c r="P10" s="91">
        <v>19</v>
      </c>
      <c r="Q10" s="91">
        <v>17.100000000000001</v>
      </c>
      <c r="R10" s="87">
        <v>0.17100000000000001</v>
      </c>
      <c r="S10" s="87">
        <v>8.3000000000000004E-2</v>
      </c>
    </row>
    <row r="11" spans="2:19" x14ac:dyDescent="0.35">
      <c r="B11" s="177" t="s">
        <v>795</v>
      </c>
      <c r="C11" s="178" t="s">
        <v>796</v>
      </c>
      <c r="D11" s="89">
        <v>42000</v>
      </c>
      <c r="E11" s="89">
        <v>47700</v>
      </c>
      <c r="F11" s="95">
        <v>2.2000000000000002</v>
      </c>
      <c r="G11" s="95">
        <v>2</v>
      </c>
      <c r="H11" s="95">
        <v>1.9</v>
      </c>
      <c r="I11" s="91">
        <v>9.4</v>
      </c>
      <c r="J11" s="91">
        <v>8.6999999999999993</v>
      </c>
      <c r="K11" s="91">
        <v>8.1</v>
      </c>
      <c r="L11" s="91">
        <v>16</v>
      </c>
      <c r="M11" s="91">
        <v>14.5</v>
      </c>
      <c r="N11" s="91">
        <v>13.3</v>
      </c>
      <c r="O11" s="91">
        <v>19.399999999999999</v>
      </c>
      <c r="P11" s="91">
        <v>17.5</v>
      </c>
      <c r="Q11" s="91">
        <v>15.9</v>
      </c>
      <c r="R11" s="87">
        <v>0.158</v>
      </c>
      <c r="S11" s="87">
        <v>6.4000000000000001E-2</v>
      </c>
    </row>
    <row r="12" spans="2:19" x14ac:dyDescent="0.35">
      <c r="B12" s="177" t="s">
        <v>797</v>
      </c>
      <c r="C12" s="178" t="s">
        <v>798</v>
      </c>
      <c r="D12" s="89">
        <v>27700</v>
      </c>
      <c r="E12" s="89">
        <v>32900</v>
      </c>
      <c r="F12" s="95">
        <v>1.8</v>
      </c>
      <c r="G12" s="95">
        <v>1.7</v>
      </c>
      <c r="H12" s="95">
        <v>1.6</v>
      </c>
      <c r="I12" s="91">
        <v>7.8</v>
      </c>
      <c r="J12" s="91">
        <v>7.3</v>
      </c>
      <c r="K12" s="91">
        <v>6.9</v>
      </c>
      <c r="L12" s="91">
        <v>13.6</v>
      </c>
      <c r="M12" s="91">
        <v>12.4</v>
      </c>
      <c r="N12" s="91">
        <v>11.5</v>
      </c>
      <c r="O12" s="91">
        <v>16.2</v>
      </c>
      <c r="P12" s="91">
        <v>14.8</v>
      </c>
      <c r="Q12" s="91">
        <v>13.6</v>
      </c>
      <c r="R12" s="87">
        <v>0.13700000000000001</v>
      </c>
      <c r="S12" s="87">
        <v>5.1999999999999998E-2</v>
      </c>
    </row>
    <row r="13" spans="2:19" x14ac:dyDescent="0.35">
      <c r="B13" s="177" t="s">
        <v>799</v>
      </c>
      <c r="C13" s="178" t="s">
        <v>800</v>
      </c>
      <c r="D13" s="89">
        <v>15100</v>
      </c>
      <c r="E13" s="89">
        <v>18200</v>
      </c>
      <c r="F13" s="95">
        <v>1.5</v>
      </c>
      <c r="G13" s="95">
        <v>1.4</v>
      </c>
      <c r="H13" s="95">
        <v>1.3</v>
      </c>
      <c r="I13" s="91">
        <v>7</v>
      </c>
      <c r="J13" s="91">
        <v>6.5</v>
      </c>
      <c r="K13" s="91">
        <v>6.1</v>
      </c>
      <c r="L13" s="91">
        <v>12.5</v>
      </c>
      <c r="M13" s="91">
        <v>11.3</v>
      </c>
      <c r="N13" s="91">
        <v>10.5</v>
      </c>
      <c r="O13" s="91">
        <v>14.6</v>
      </c>
      <c r="P13" s="91">
        <v>13.2</v>
      </c>
      <c r="Q13" s="91">
        <v>12.1</v>
      </c>
      <c r="R13" s="87">
        <v>0.121</v>
      </c>
      <c r="S13" s="87">
        <v>4.5999999999999999E-2</v>
      </c>
    </row>
    <row r="15" spans="2:19" x14ac:dyDescent="0.35">
      <c r="B15" s="179" t="s">
        <v>622</v>
      </c>
      <c r="C15" s="63"/>
      <c r="D15" s="180">
        <f t="shared" ref="D15:S15" si="0">IFERROR(AVERAGE(D6:D13),"")</f>
        <v>21875</v>
      </c>
      <c r="E15" s="180">
        <f t="shared" si="0"/>
        <v>25262.5</v>
      </c>
      <c r="F15" s="181">
        <f t="shared" si="0"/>
        <v>1.9125000000000001</v>
      </c>
      <c r="G15" s="181">
        <f t="shared" si="0"/>
        <v>1.7749999999999999</v>
      </c>
      <c r="H15" s="181">
        <f t="shared" si="0"/>
        <v>1.675</v>
      </c>
      <c r="I15" s="182">
        <f t="shared" si="0"/>
        <v>8.1374999999999993</v>
      </c>
      <c r="J15" s="182">
        <f t="shared" si="0"/>
        <v>7.5374999999999996</v>
      </c>
      <c r="K15" s="182">
        <f t="shared" si="0"/>
        <v>7.05</v>
      </c>
      <c r="L15" s="182">
        <f t="shared" si="0"/>
        <v>14.149999999999999</v>
      </c>
      <c r="M15" s="182">
        <f t="shared" si="0"/>
        <v>12.8125</v>
      </c>
      <c r="N15" s="182">
        <f t="shared" si="0"/>
        <v>11.8125</v>
      </c>
      <c r="O15" s="182">
        <f t="shared" si="0"/>
        <v>16.900000000000002</v>
      </c>
      <c r="P15" s="182">
        <f t="shared" si="0"/>
        <v>15.274999999999999</v>
      </c>
      <c r="Q15" s="182">
        <f t="shared" si="0"/>
        <v>13.95</v>
      </c>
      <c r="R15" s="183">
        <f t="shared" si="0"/>
        <v>0.140625</v>
      </c>
      <c r="S15" s="183">
        <f t="shared" si="0"/>
        <v>5.7999999999999996E-2</v>
      </c>
    </row>
    <row r="16" spans="2:19" x14ac:dyDescent="0.35">
      <c r="B16" s="11" t="s">
        <v>619</v>
      </c>
      <c r="D16" s="90">
        <f t="shared" ref="D16:S16" si="1">IFERROR(MEDIAN(D6:D13),"")</f>
        <v>21400</v>
      </c>
      <c r="E16" s="90">
        <f t="shared" si="1"/>
        <v>24650</v>
      </c>
      <c r="F16" s="96">
        <f t="shared" si="1"/>
        <v>1.9</v>
      </c>
      <c r="G16" s="96">
        <f t="shared" si="1"/>
        <v>1.7999999999999998</v>
      </c>
      <c r="H16" s="96">
        <f t="shared" si="1"/>
        <v>1.7000000000000002</v>
      </c>
      <c r="I16" s="92">
        <f t="shared" si="1"/>
        <v>7.9499999999999993</v>
      </c>
      <c r="J16" s="92">
        <f t="shared" si="1"/>
        <v>7.4499999999999993</v>
      </c>
      <c r="K16" s="92">
        <f t="shared" si="1"/>
        <v>7</v>
      </c>
      <c r="L16" s="92">
        <f t="shared" si="1"/>
        <v>13.899999999999999</v>
      </c>
      <c r="M16" s="92">
        <f t="shared" si="1"/>
        <v>12.65</v>
      </c>
      <c r="N16" s="92">
        <f t="shared" si="1"/>
        <v>11.7</v>
      </c>
      <c r="O16" s="92">
        <f t="shared" si="1"/>
        <v>16.649999999999999</v>
      </c>
      <c r="P16" s="92">
        <f t="shared" si="1"/>
        <v>15.15</v>
      </c>
      <c r="Q16" s="92">
        <f t="shared" si="1"/>
        <v>13.899999999999999</v>
      </c>
      <c r="R16" s="88">
        <f t="shared" si="1"/>
        <v>0.14150000000000001</v>
      </c>
      <c r="S16" s="88">
        <f t="shared" si="1"/>
        <v>5.5E-2</v>
      </c>
    </row>
    <row r="17" spans="2:19" x14ac:dyDescent="0.35">
      <c r="B17" s="40" t="s">
        <v>801</v>
      </c>
      <c r="D17" s="141">
        <f t="shared" ref="D17:S17" si="2">IFERROR(QUARTILE(D6:D13,1),"")</f>
        <v>13775</v>
      </c>
      <c r="E17" s="141">
        <f t="shared" si="2"/>
        <v>16625</v>
      </c>
      <c r="F17" s="184">
        <f t="shared" si="2"/>
        <v>1.5750000000000002</v>
      </c>
      <c r="G17" s="184">
        <f t="shared" si="2"/>
        <v>1.4750000000000001</v>
      </c>
      <c r="H17" s="184">
        <f t="shared" si="2"/>
        <v>1.375</v>
      </c>
      <c r="I17" s="185">
        <f t="shared" si="2"/>
        <v>7.15</v>
      </c>
      <c r="J17" s="185">
        <f t="shared" si="2"/>
        <v>6.65</v>
      </c>
      <c r="K17" s="185">
        <f t="shared" si="2"/>
        <v>6.25</v>
      </c>
      <c r="L17" s="185">
        <f t="shared" si="2"/>
        <v>12.725000000000001</v>
      </c>
      <c r="M17" s="185">
        <f t="shared" si="2"/>
        <v>11.525</v>
      </c>
      <c r="N17" s="185">
        <f t="shared" si="2"/>
        <v>10.725000000000001</v>
      </c>
      <c r="O17" s="185">
        <f t="shared" si="2"/>
        <v>14.9</v>
      </c>
      <c r="P17" s="185">
        <f t="shared" si="2"/>
        <v>13.574999999999999</v>
      </c>
      <c r="Q17" s="185">
        <f t="shared" si="2"/>
        <v>12.475</v>
      </c>
      <c r="R17" s="123">
        <f t="shared" si="2"/>
        <v>0.12625</v>
      </c>
      <c r="S17" s="123">
        <f t="shared" si="2"/>
        <v>4.8250000000000001E-2</v>
      </c>
    </row>
    <row r="18" spans="2:19" x14ac:dyDescent="0.35">
      <c r="B18" s="40" t="s">
        <v>802</v>
      </c>
      <c r="D18" s="141">
        <f t="shared" ref="D18:S18" si="3">IFERROR(QUARTILE(D6:D13,3),"")</f>
        <v>28575</v>
      </c>
      <c r="E18" s="141">
        <f t="shared" si="3"/>
        <v>33125</v>
      </c>
      <c r="F18" s="184">
        <f t="shared" si="3"/>
        <v>2.2250000000000001</v>
      </c>
      <c r="G18" s="184">
        <f t="shared" si="3"/>
        <v>2.0249999999999999</v>
      </c>
      <c r="H18" s="184">
        <f t="shared" si="3"/>
        <v>1.9249999999999998</v>
      </c>
      <c r="I18" s="185">
        <f t="shared" si="3"/>
        <v>9.0250000000000004</v>
      </c>
      <c r="J18" s="185">
        <f t="shared" si="3"/>
        <v>8.3249999999999993</v>
      </c>
      <c r="K18" s="185">
        <f t="shared" si="3"/>
        <v>7.7249999999999996</v>
      </c>
      <c r="L18" s="185">
        <f t="shared" si="3"/>
        <v>15.324999999999999</v>
      </c>
      <c r="M18" s="185">
        <f t="shared" si="3"/>
        <v>13.824999999999999</v>
      </c>
      <c r="N18" s="185">
        <f t="shared" si="3"/>
        <v>12.625</v>
      </c>
      <c r="O18" s="185">
        <f t="shared" si="3"/>
        <v>18.5</v>
      </c>
      <c r="P18" s="185">
        <f t="shared" si="3"/>
        <v>16.674999999999997</v>
      </c>
      <c r="Q18" s="185">
        <f t="shared" si="3"/>
        <v>15.15</v>
      </c>
      <c r="R18" s="123">
        <f t="shared" si="3"/>
        <v>0.1535</v>
      </c>
      <c r="S18" s="123">
        <f t="shared" si="3"/>
        <v>6.5750000000000003E-2</v>
      </c>
    </row>
    <row r="19" spans="2:19" x14ac:dyDescent="0.35">
      <c r="B19" s="40" t="s">
        <v>803</v>
      </c>
      <c r="D19" s="141">
        <f t="shared" ref="D19:S19" si="4">IFERROR(MAX(D6:D13),"")</f>
        <v>42000</v>
      </c>
      <c r="E19" s="141">
        <f t="shared" si="4"/>
        <v>47700</v>
      </c>
      <c r="F19" s="184">
        <f t="shared" si="4"/>
        <v>2.6</v>
      </c>
      <c r="G19" s="184">
        <f t="shared" si="4"/>
        <v>2.4</v>
      </c>
      <c r="H19" s="184">
        <f t="shared" si="4"/>
        <v>2.2000000000000002</v>
      </c>
      <c r="I19" s="185">
        <f t="shared" si="4"/>
        <v>10.199999999999999</v>
      </c>
      <c r="J19" s="185">
        <f t="shared" si="4"/>
        <v>9.3000000000000007</v>
      </c>
      <c r="K19" s="185">
        <f t="shared" si="4"/>
        <v>8.6</v>
      </c>
      <c r="L19" s="185">
        <f t="shared" si="4"/>
        <v>17.399999999999999</v>
      </c>
      <c r="M19" s="185">
        <f t="shared" si="4"/>
        <v>15.6</v>
      </c>
      <c r="N19" s="185">
        <f t="shared" si="4"/>
        <v>14.2</v>
      </c>
      <c r="O19" s="185">
        <f t="shared" si="4"/>
        <v>21.3</v>
      </c>
      <c r="P19" s="185">
        <f t="shared" si="4"/>
        <v>19</v>
      </c>
      <c r="Q19" s="185">
        <f t="shared" si="4"/>
        <v>17.100000000000001</v>
      </c>
      <c r="R19" s="123">
        <f t="shared" si="4"/>
        <v>0.17100000000000001</v>
      </c>
      <c r="S19" s="123">
        <f t="shared" si="4"/>
        <v>8.3000000000000004E-2</v>
      </c>
    </row>
    <row r="20" spans="2:19" x14ac:dyDescent="0.35">
      <c r="B20" s="40" t="s">
        <v>804</v>
      </c>
      <c r="D20" s="141">
        <f t="shared" ref="D20:S20" si="5">IFERROR(MIN(D6:D13),"")</f>
        <v>6400</v>
      </c>
      <c r="E20" s="141">
        <f t="shared" si="5"/>
        <v>8300</v>
      </c>
      <c r="F20" s="184">
        <f t="shared" si="5"/>
        <v>1.3</v>
      </c>
      <c r="G20" s="184">
        <f t="shared" si="5"/>
        <v>1.2</v>
      </c>
      <c r="H20" s="184">
        <f t="shared" si="5"/>
        <v>1.2</v>
      </c>
      <c r="I20" s="185">
        <f t="shared" si="5"/>
        <v>6.5</v>
      </c>
      <c r="J20" s="185">
        <f t="shared" si="5"/>
        <v>6</v>
      </c>
      <c r="K20" s="185">
        <f t="shared" si="5"/>
        <v>5.7</v>
      </c>
      <c r="L20" s="185">
        <f t="shared" si="5"/>
        <v>11.6</v>
      </c>
      <c r="M20" s="185">
        <f t="shared" si="5"/>
        <v>10.6</v>
      </c>
      <c r="N20" s="185">
        <f t="shared" si="5"/>
        <v>9.9</v>
      </c>
      <c r="O20" s="185">
        <f t="shared" si="5"/>
        <v>13.4</v>
      </c>
      <c r="P20" s="185">
        <f t="shared" si="5"/>
        <v>12.1</v>
      </c>
      <c r="Q20" s="185">
        <f t="shared" si="5"/>
        <v>11.2</v>
      </c>
      <c r="R20" s="123">
        <f t="shared" si="5"/>
        <v>0.112</v>
      </c>
      <c r="S20" s="123">
        <f t="shared" si="5"/>
        <v>4.1000000000000002E-2</v>
      </c>
    </row>
    <row r="22" spans="2:19" x14ac:dyDescent="0.35">
      <c r="B22" s="186" t="str">
        <f>Inputs!$C$6&amp;" (at current price)"</f>
        <v>Example Company ASA (at current price)</v>
      </c>
      <c r="C22" s="187"/>
      <c r="D22" s="188">
        <f>Inputs!$C$32</f>
        <v>10370</v>
      </c>
      <c r="E22" s="189">
        <f>IF(Inputs!$C$67=1,Inputs!$C$49,Inputs!$C$48)</f>
        <v>13250</v>
      </c>
      <c r="F22" s="190">
        <f>Analysis!L69</f>
        <v>2.3138252708352329</v>
      </c>
      <c r="G22" s="190">
        <f>Analysis!M69</f>
        <v>2.177899825574197</v>
      </c>
      <c r="H22" s="190">
        <f>Analysis!N69</f>
        <v>2.0450597956173082</v>
      </c>
      <c r="I22" s="191">
        <f>Analysis!L70</f>
        <v>7.7880135954616962</v>
      </c>
      <c r="J22" s="191">
        <f>Analysis!M70</f>
        <v>7.2824176382319576</v>
      </c>
      <c r="K22" s="191">
        <f>Analysis!N70</f>
        <v>6.7729693572907355</v>
      </c>
      <c r="L22" s="191">
        <f>Analysis!L71</f>
        <v>12.160976912882933</v>
      </c>
      <c r="M22" s="191">
        <f>Analysis!M71</f>
        <v>11.319975277441578</v>
      </c>
      <c r="N22" s="191">
        <f>Analysis!N71</f>
        <v>10.4461640231803</v>
      </c>
      <c r="O22" s="191">
        <f>Analysis!L72</f>
        <v>14.232710707609316</v>
      </c>
      <c r="P22" s="191">
        <f>Analysis!M72</f>
        <v>12.866058721445047</v>
      </c>
      <c r="Q22" s="191">
        <f>Analysis!N72</f>
        <v>11.612145083395694</v>
      </c>
      <c r="R22" s="192">
        <f>Analysis!M84</f>
        <v>0.19239439770812139</v>
      </c>
      <c r="S22" s="192">
        <f>Model!M59</f>
        <v>6.2411247599599706E-2</v>
      </c>
    </row>
    <row r="23" spans="2:19" x14ac:dyDescent="0.35">
      <c r="B23" s="65" t="s">
        <v>805</v>
      </c>
      <c r="F23" s="142">
        <f t="shared" ref="F23:Q23" si="6">IFERROR(F22/F16-1,"n.m.")</f>
        <v>0.21780277412380689</v>
      </c>
      <c r="G23" s="142">
        <f t="shared" si="6"/>
        <v>0.2099443475412206</v>
      </c>
      <c r="H23" s="142">
        <f t="shared" si="6"/>
        <v>0.20297635036312234</v>
      </c>
      <c r="I23" s="142">
        <f t="shared" si="6"/>
        <v>-2.0375648369597821E-2</v>
      </c>
      <c r="J23" s="142">
        <f t="shared" si="6"/>
        <v>-2.2494276747388131E-2</v>
      </c>
      <c r="K23" s="142">
        <f t="shared" si="6"/>
        <v>-3.2432948958466379E-2</v>
      </c>
      <c r="L23" s="142">
        <f t="shared" si="6"/>
        <v>-0.12510957461273853</v>
      </c>
      <c r="M23" s="142">
        <f t="shared" si="6"/>
        <v>-0.105140294273393</v>
      </c>
      <c r="N23" s="142">
        <f t="shared" si="6"/>
        <v>-0.10716546810424776</v>
      </c>
      <c r="O23" s="142">
        <f t="shared" si="6"/>
        <v>-0.14518254008352449</v>
      </c>
      <c r="P23" s="142">
        <f t="shared" si="6"/>
        <v>-0.15075519990461739</v>
      </c>
      <c r="Q23" s="142">
        <f t="shared" si="6"/>
        <v>-0.16459387889239607</v>
      </c>
      <c r="R23" s="193">
        <f>IFERROR(R22-R16,"n.m.")</f>
        <v>5.0894397708121375E-2</v>
      </c>
      <c r="S23" s="193">
        <f>IFERROR(S22-S16,"n.m.")</f>
        <v>7.411247599599706E-3</v>
      </c>
    </row>
    <row r="24" spans="2:19" x14ac:dyDescent="0.35">
      <c r="B24" s="15" t="s">
        <v>806</v>
      </c>
    </row>
    <row r="25" spans="2:19" x14ac:dyDescent="0.35">
      <c r="B25" s="31" t="s">
        <v>807</v>
      </c>
      <c r="C25" s="31"/>
      <c r="D25" s="31"/>
      <c r="E25" s="31"/>
      <c r="F25" s="31"/>
      <c r="G25" s="31"/>
      <c r="H25" s="31"/>
      <c r="I25" s="31"/>
      <c r="J25" s="31"/>
      <c r="K25" s="31"/>
      <c r="L25" s="31"/>
      <c r="M25" s="31"/>
      <c r="N25" s="31"/>
      <c r="O25" s="31"/>
      <c r="P25" s="31"/>
      <c r="Q25" s="31"/>
      <c r="R25" s="31"/>
      <c r="S25" s="31"/>
    </row>
    <row r="26" spans="2:19" x14ac:dyDescent="0.35">
      <c r="B26" s="40" t="s">
        <v>808</v>
      </c>
      <c r="C26" s="194">
        <f>Inputs!$C$68</f>
        <v>2</v>
      </c>
      <c r="D26" s="195" t="str">
        <f>INDEX(Model!$L$5:$M$5,1,C26)</f>
        <v>2027E</v>
      </c>
    </row>
    <row r="27" spans="2:19" x14ac:dyDescent="0.35">
      <c r="B27" s="40" t="s">
        <v>809</v>
      </c>
      <c r="C27" s="141">
        <f>-(Inputs!$C$42+IF(Inputs!$C$67=1,Inputs!$C$43,0))-Inputs!$C$44+Inputs!$C$45-Inputs!$C$46+Inputs!$C$47</f>
        <v>-2880</v>
      </c>
      <c r="E27" s="15" t="s">
        <v>810</v>
      </c>
    </row>
    <row r="28" spans="2:19" ht="26" customHeight="1" x14ac:dyDescent="0.35">
      <c r="B28" s="196" t="s">
        <v>811</v>
      </c>
      <c r="C28" s="197" t="s">
        <v>812</v>
      </c>
      <c r="D28" s="197" t="s">
        <v>813</v>
      </c>
      <c r="E28" s="197" t="s">
        <v>814</v>
      </c>
      <c r="F28" s="197" t="s">
        <v>815</v>
      </c>
      <c r="G28" s="197" t="s">
        <v>816</v>
      </c>
      <c r="H28" s="197" t="s">
        <v>817</v>
      </c>
      <c r="I28" s="197" t="s">
        <v>818</v>
      </c>
      <c r="J28" s="197" t="s">
        <v>819</v>
      </c>
    </row>
    <row r="29" spans="2:19" x14ac:dyDescent="0.35">
      <c r="B29" s="11" t="s">
        <v>581</v>
      </c>
      <c r="C29" s="141">
        <f>INDEX(Analysis!$L$79:$M$79,1,$C$26)</f>
        <v>6083.8427205928429</v>
      </c>
      <c r="D29" s="184">
        <f>INDEX($F$17:$G$17,1,$C$26)</f>
        <v>1.4750000000000001</v>
      </c>
      <c r="E29" s="184">
        <f>INDEX($F$16:$G$16,1,$C$26)</f>
        <v>1.7999999999999998</v>
      </c>
      <c r="F29" s="184">
        <f>INDEX($F$18:$G$18,1,$C$26)</f>
        <v>2.0249999999999999</v>
      </c>
      <c r="G29" s="198">
        <f>IF(D29="","",(C29*D29+$C$27)/Inputs!$C$31)</f>
        <v>71.187710430776207</v>
      </c>
      <c r="H29" s="198">
        <f>IF(E29="","",(C29*E29+$C$27)/Inputs!$C$31)</f>
        <v>94.286412348914922</v>
      </c>
      <c r="I29" s="198">
        <f>IF(F29="","",(C29*F29+$C$27)/Inputs!$C$31)</f>
        <v>110.2778213691648</v>
      </c>
      <c r="J29" s="166">
        <v>0</v>
      </c>
    </row>
    <row r="30" spans="2:19" x14ac:dyDescent="0.35">
      <c r="B30" s="11" t="s">
        <v>583</v>
      </c>
      <c r="C30" s="141">
        <f>INDEX(Analysis!$L$80:$M$80,1,$C$26)</f>
        <v>1819.4507179097827</v>
      </c>
      <c r="D30" s="185">
        <f>INDEX($I$17:$J$17,1,$C$26)</f>
        <v>6.65</v>
      </c>
      <c r="E30" s="185">
        <f>INDEX($I$16:$J$16,1,$C$26)</f>
        <v>7.4499999999999993</v>
      </c>
      <c r="F30" s="185">
        <f>INDEX($I$18:$J$18,1,$C$26)</f>
        <v>8.3249999999999993</v>
      </c>
      <c r="G30" s="198">
        <f>IF(D30="","",(C30*D30+$C$27)/Inputs!$C$31)</f>
        <v>107.70265507126233</v>
      </c>
      <c r="H30" s="198">
        <f>IF(E30="","",(C30*E30+$C$27)/Inputs!$C$31)</f>
        <v>124.70686738817618</v>
      </c>
      <c r="I30" s="198">
        <f>IF(F30="","",(C30*F30+$C$27)/Inputs!$C$31)</f>
        <v>143.30522460980072</v>
      </c>
      <c r="J30" s="166">
        <v>1</v>
      </c>
    </row>
    <row r="31" spans="2:19" x14ac:dyDescent="0.35">
      <c r="B31" s="11" t="s">
        <v>585</v>
      </c>
      <c r="C31" s="141">
        <f>INDEX(Analysis!$L$81:$M$81,1,$C$26)</f>
        <v>1170.4972559793987</v>
      </c>
      <c r="D31" s="185">
        <f>INDEX($L$17:$M$17,1,$C$26)</f>
        <v>11.525</v>
      </c>
      <c r="E31" s="185">
        <f>INDEX($L$16:$M$16,1,$C$26)</f>
        <v>12.65</v>
      </c>
      <c r="F31" s="185">
        <f>INDEX($L$18:$M$18,1,$C$26)</f>
        <v>13.824999999999999</v>
      </c>
      <c r="G31" s="198">
        <f>IF(D31="","",(C31*D31+$C$27)/Inputs!$C$31)</f>
        <v>123.94837470984311</v>
      </c>
      <c r="H31" s="198">
        <f>IF(E31="","",(C31*E31+$C$27)/Inputs!$C$31)</f>
        <v>139.33166224461908</v>
      </c>
      <c r="I31" s="198">
        <f>IF(F31="","",(C31*F31+$C$27)/Inputs!$C$31)</f>
        <v>155.39865144760731</v>
      </c>
      <c r="J31" s="166">
        <v>1</v>
      </c>
    </row>
    <row r="32" spans="2:19" x14ac:dyDescent="0.35">
      <c r="B32" s="11" t="s">
        <v>586</v>
      </c>
      <c r="C32" s="198">
        <f>INDEX(Analysis!$L$83:$M$83,1,$C$26)</f>
        <v>9.4823133207569885</v>
      </c>
      <c r="D32" s="185">
        <f>INDEX($O$17:$P$17,1,$C$26)</f>
        <v>13.574999999999999</v>
      </c>
      <c r="E32" s="185">
        <f>INDEX($O$16:$P$16,1,$C$26)</f>
        <v>15.15</v>
      </c>
      <c r="F32" s="185">
        <f>INDEX($O$18:$P$18,1,$C$26)</f>
        <v>16.674999999999997</v>
      </c>
      <c r="G32" s="198">
        <f>IF(D32="","",C32*D32)</f>
        <v>128.72240332927612</v>
      </c>
      <c r="H32" s="198">
        <f>IF(E32="","",C32*E32)</f>
        <v>143.65704680946837</v>
      </c>
      <c r="I32" s="198">
        <f>IF(F32="","",C32*F32)</f>
        <v>158.11757462362274</v>
      </c>
      <c r="J32" s="166">
        <v>1</v>
      </c>
    </row>
    <row r="33" spans="2:19" x14ac:dyDescent="0.35">
      <c r="B33" s="61" t="s">
        <v>820</v>
      </c>
      <c r="C33" s="63"/>
      <c r="D33" s="63"/>
      <c r="E33" s="63"/>
      <c r="F33" s="63"/>
      <c r="G33" s="199">
        <f>IF(SUMPRODUCT(--ISNUMBER(G29:G32),$J$29:$J$32)=0,0,SUMPRODUCT(G29:G32,$J$29:$J$32)/SUMPRODUCT(--ISNUMBER(G29:G32),$J$29:$J$32))</f>
        <v>120.12447770346051</v>
      </c>
      <c r="H33" s="199">
        <f>IF(SUMPRODUCT(--ISNUMBER(H29:H32),$J$29:$J$32)=0,0,SUMPRODUCT(H29:H32,$J$29:$J$32)/SUMPRODUCT(--ISNUMBER(H29:H32),$J$29:$J$32))</f>
        <v>135.89852548075453</v>
      </c>
      <c r="I33" s="199">
        <f>IF(SUMPRODUCT(--ISNUMBER(I29:I32),$J$29:$J$32)=0,0,SUMPRODUCT(I29:I32,$J$29:$J$32)/SUMPRODUCT(--ISNUMBER(I29:I32),$J$29:$J$32))</f>
        <v>152.27381689367692</v>
      </c>
      <c r="J33" s="63"/>
      <c r="K33" s="15" t="s">
        <v>821</v>
      </c>
    </row>
    <row r="35" spans="2:19" x14ac:dyDescent="0.35">
      <c r="B35" s="31" t="s">
        <v>822</v>
      </c>
      <c r="C35" s="31"/>
      <c r="D35" s="31"/>
      <c r="E35" s="31"/>
      <c r="F35" s="31"/>
      <c r="G35" s="31"/>
      <c r="H35" s="31"/>
      <c r="I35" s="31"/>
      <c r="J35" s="31"/>
      <c r="K35" s="31"/>
      <c r="L35" s="31"/>
      <c r="M35" s="31"/>
      <c r="N35" s="31"/>
      <c r="O35" s="31"/>
      <c r="P35" s="31"/>
      <c r="Q35" s="31"/>
      <c r="R35" s="31"/>
      <c r="S35" s="31"/>
    </row>
    <row r="36" spans="2:19" ht="26" customHeight="1" x14ac:dyDescent="0.35">
      <c r="B36" s="197"/>
      <c r="C36" s="197" t="s">
        <v>783</v>
      </c>
      <c r="D36" s="197" t="s">
        <v>322</v>
      </c>
      <c r="E36" s="197" t="s">
        <v>585</v>
      </c>
      <c r="F36" s="197" t="s">
        <v>586</v>
      </c>
    </row>
    <row r="37" spans="2:19" x14ac:dyDescent="0.35">
      <c r="B37" s="200" t="str">
        <f>Inputs!$C$6</f>
        <v>Example Company ASA</v>
      </c>
      <c r="C37" s="123">
        <f>R22</f>
        <v>0.19239439770812139</v>
      </c>
      <c r="D37" s="123">
        <f>S22</f>
        <v>6.2411247599599706E-2</v>
      </c>
      <c r="E37" s="185">
        <f>M22</f>
        <v>11.319975277441578</v>
      </c>
      <c r="F37" s="185">
        <f>P22</f>
        <v>12.866058721445047</v>
      </c>
    </row>
    <row r="38" spans="2:19" x14ac:dyDescent="0.35">
      <c r="B38" s="11" t="s">
        <v>814</v>
      </c>
      <c r="C38" s="123">
        <f>R16</f>
        <v>0.14150000000000001</v>
      </c>
      <c r="D38" s="123">
        <f>S16</f>
        <v>5.5E-2</v>
      </c>
      <c r="E38" s="185">
        <f>M16</f>
        <v>12.65</v>
      </c>
      <c r="F38" s="185">
        <f>P16</f>
        <v>15.15</v>
      </c>
    </row>
  </sheetData>
  <mergeCells count="4">
    <mergeCell ref="L4:N4"/>
    <mergeCell ref="F4:H4"/>
    <mergeCell ref="O4:Q4"/>
    <mergeCell ref="I4:K4"/>
  </mergeCells>
  <printOptions horizontalCentered="1"/>
  <pageMargins left="0.4" right="0.4" top="1" bottom="1" header="0.5" footer="0.5"/>
  <pageSetup paperSize="9"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3255"/>
    <pageSetUpPr fitToPage="1"/>
  </sheetPr>
  <dimension ref="B1:K19"/>
  <sheetViews>
    <sheetView showGridLines="0" zoomScale="90" workbookViewId="0"/>
  </sheetViews>
  <sheetFormatPr defaultRowHeight="14.5" x14ac:dyDescent="0.35"/>
  <cols>
    <col min="1" max="1" width="2" customWidth="1"/>
    <col min="2" max="2" width="40" customWidth="1"/>
    <col min="3" max="6" width="11" customWidth="1"/>
    <col min="7" max="7" width="46" customWidth="1"/>
    <col min="8" max="8" width="3" customWidth="1"/>
    <col min="9" max="9" width="44" customWidth="1"/>
    <col min="10" max="11" width="10" customWidth="1"/>
  </cols>
  <sheetData>
    <row r="1" spans="2:11" ht="24" customHeight="1" x14ac:dyDescent="0.4">
      <c r="B1" s="30" t="s">
        <v>823</v>
      </c>
      <c r="H1" s="54" t="str">
        <f>Inputs!$C$6&amp;"  |  Scenario: "&amp;Inputs!$C$53</f>
        <v>Example Company ASA  |  Scenario: Base</v>
      </c>
    </row>
    <row r="2" spans="2:11" x14ac:dyDescent="0.35">
      <c r="B2" s="15" t="s">
        <v>824</v>
      </c>
    </row>
    <row r="4" spans="2:11" x14ac:dyDescent="0.35">
      <c r="B4" s="174" t="s">
        <v>825</v>
      </c>
      <c r="C4" s="201" t="s">
        <v>804</v>
      </c>
      <c r="D4" s="201" t="s">
        <v>803</v>
      </c>
      <c r="E4" s="201" t="s">
        <v>826</v>
      </c>
      <c r="F4" s="201" t="s">
        <v>827</v>
      </c>
      <c r="G4" s="174" t="s">
        <v>828</v>
      </c>
      <c r="I4" s="174" t="s">
        <v>829</v>
      </c>
      <c r="J4" s="201" t="s">
        <v>830</v>
      </c>
      <c r="K4" s="201" t="s">
        <v>831</v>
      </c>
    </row>
    <row r="5" spans="2:11" x14ac:dyDescent="0.35">
      <c r="B5" s="40" t="s">
        <v>832</v>
      </c>
      <c r="C5" s="198">
        <f>Inputs!$C$34</f>
        <v>101.2</v>
      </c>
      <c r="D5" s="198">
        <f>Inputs!$C$33</f>
        <v>134.6</v>
      </c>
      <c r="E5" s="198">
        <f t="shared" ref="E5:E11" si="0">IF(AND(ISNUMBER(C5),ISNUMBER(D5)),MAX(0,D5-C5),0)</f>
        <v>33.399999999999991</v>
      </c>
      <c r="F5" s="198">
        <f t="shared" ref="F5:F11" si="1">IF(AND(ISNUMBER(C5),ISNUMBER(D5)),AVERAGE(C5:D5),"")</f>
        <v>117.9</v>
      </c>
      <c r="G5" s="202" t="s">
        <v>833</v>
      </c>
      <c r="I5" s="40" t="str">
        <f t="shared" ref="I5:I11" si="2">IF(AND(ISNUMBER(C5),ISNUMBER(D5)),B5&amp;" ("&amp;FIXED(C5,0)&amp;"–"&amp;FIXED(D5,0)&amp;")",B5&amp;" (n.a.)")</f>
        <v>52-week trading range (101–135)</v>
      </c>
      <c r="J5" s="198">
        <f t="shared" ref="J5:J11" si="3">IF(ISNUMBER(C5),MAX(0,C5-$C$18),0)</f>
        <v>51.2</v>
      </c>
      <c r="K5" s="198">
        <f t="shared" ref="K5:K11" si="4">E5</f>
        <v>33.399999999999991</v>
      </c>
    </row>
    <row r="6" spans="2:11" x14ac:dyDescent="0.35">
      <c r="B6" s="40" t="s">
        <v>834</v>
      </c>
      <c r="C6" s="198">
        <f>MIN(Sensitivity!$F$14:$H$16)</f>
        <v>128.02245063583874</v>
      </c>
      <c r="D6" s="198">
        <f>MAX(Sensitivity!$F$14:$H$16)</f>
        <v>152.62672135970627</v>
      </c>
      <c r="E6" s="198">
        <f t="shared" si="0"/>
        <v>24.604270723867529</v>
      </c>
      <c r="F6" s="198">
        <f t="shared" si="1"/>
        <v>140.32458599777249</v>
      </c>
      <c r="G6" s="202" t="s">
        <v>835</v>
      </c>
      <c r="I6" s="40" t="str">
        <f t="shared" si="2"/>
        <v>DCF – WACC ±0.5pp / g ±0.25pp (128–153)</v>
      </c>
      <c r="J6" s="198">
        <f t="shared" si="3"/>
        <v>78.022450635838737</v>
      </c>
      <c r="K6" s="198">
        <f t="shared" si="4"/>
        <v>24.604270723867529</v>
      </c>
    </row>
    <row r="7" spans="2:11" x14ac:dyDescent="0.35">
      <c r="B7" s="40" t="s">
        <v>836</v>
      </c>
      <c r="C7" s="198">
        <f>MIN(Sensitivity!$I$42:$I$44)</f>
        <v>62.143148555295909</v>
      </c>
      <c r="D7" s="198">
        <f>MAX(Sensitivity!$I$42:$I$44)</f>
        <v>201.49065699573467</v>
      </c>
      <c r="E7" s="198">
        <f t="shared" si="0"/>
        <v>139.34750844043876</v>
      </c>
      <c r="F7" s="198">
        <f t="shared" si="1"/>
        <v>131.8169027755153</v>
      </c>
      <c r="G7" s="202" t="s">
        <v>837</v>
      </c>
      <c r="I7" s="40" t="str">
        <f t="shared" si="2"/>
        <v>DCF – Bear to Bull (62–201)</v>
      </c>
      <c r="J7" s="198">
        <f t="shared" si="3"/>
        <v>12.143148555295909</v>
      </c>
      <c r="K7" s="198">
        <f t="shared" si="4"/>
        <v>139.34750844043876</v>
      </c>
    </row>
    <row r="8" spans="2:11" x14ac:dyDescent="0.35">
      <c r="B8" s="40" t="s">
        <v>838</v>
      </c>
      <c r="C8" s="198">
        <f>Comps!$G$30</f>
        <v>107.70265507126233</v>
      </c>
      <c r="D8" s="198">
        <f>Comps!$I$30</f>
        <v>143.30522460980072</v>
      </c>
      <c r="E8" s="198">
        <f t="shared" si="0"/>
        <v>35.60256953853839</v>
      </c>
      <c r="F8" s="198">
        <f t="shared" si="1"/>
        <v>125.50393984053153</v>
      </c>
      <c r="G8" s="202" t="s">
        <v>54</v>
      </c>
      <c r="I8" s="40" t="str">
        <f t="shared" si="2"/>
        <v>EV/EBITDA – peers (25th–75th pct) (108–143)</v>
      </c>
      <c r="J8" s="198">
        <f t="shared" si="3"/>
        <v>57.702655071262328</v>
      </c>
      <c r="K8" s="198">
        <f t="shared" si="4"/>
        <v>35.60256953853839</v>
      </c>
    </row>
    <row r="9" spans="2:11" x14ac:dyDescent="0.35">
      <c r="B9" s="40" t="s">
        <v>839</v>
      </c>
      <c r="C9" s="198">
        <f>Comps!$G$31</f>
        <v>123.94837470984311</v>
      </c>
      <c r="D9" s="198">
        <f>Comps!$I$31</f>
        <v>155.39865144760731</v>
      </c>
      <c r="E9" s="198">
        <f t="shared" si="0"/>
        <v>31.450276737764199</v>
      </c>
      <c r="F9" s="198">
        <f t="shared" si="1"/>
        <v>139.67351307872519</v>
      </c>
      <c r="G9" s="202" t="s">
        <v>54</v>
      </c>
      <c r="I9" s="40" t="str">
        <f t="shared" si="2"/>
        <v>EV/EBIT – peers (25th–75th pct) (124–155)</v>
      </c>
      <c r="J9" s="198">
        <f t="shared" si="3"/>
        <v>73.948374709843108</v>
      </c>
      <c r="K9" s="198">
        <f t="shared" si="4"/>
        <v>31.450276737764199</v>
      </c>
    </row>
    <row r="10" spans="2:11" x14ac:dyDescent="0.35">
      <c r="B10" s="40" t="s">
        <v>840</v>
      </c>
      <c r="C10" s="198">
        <f>Comps!$G$32</f>
        <v>128.72240332927612</v>
      </c>
      <c r="D10" s="198">
        <f>Comps!$I$32</f>
        <v>158.11757462362274</v>
      </c>
      <c r="E10" s="198">
        <f t="shared" si="0"/>
        <v>29.395171294346625</v>
      </c>
      <c r="F10" s="198">
        <f t="shared" si="1"/>
        <v>143.41998897644942</v>
      </c>
      <c r="G10" s="202" t="s">
        <v>54</v>
      </c>
      <c r="I10" s="40" t="str">
        <f t="shared" si="2"/>
        <v>P/E – peers (25th–75th pct) (129–158)</v>
      </c>
      <c r="J10" s="198">
        <f t="shared" si="3"/>
        <v>78.722403329276119</v>
      </c>
      <c r="K10" s="198">
        <f t="shared" si="4"/>
        <v>29.395171294346625</v>
      </c>
    </row>
    <row r="11" spans="2:11" x14ac:dyDescent="0.35">
      <c r="B11" s="40" t="s">
        <v>841</v>
      </c>
      <c r="C11" s="198">
        <f>Comps!$G$29</f>
        <v>71.187710430776207</v>
      </c>
      <c r="D11" s="198">
        <f>Comps!$I$29</f>
        <v>110.2778213691648</v>
      </c>
      <c r="E11" s="198">
        <f t="shared" si="0"/>
        <v>39.090110938388591</v>
      </c>
      <c r="F11" s="198">
        <f t="shared" si="1"/>
        <v>90.732765899970502</v>
      </c>
      <c r="G11" s="202" t="s">
        <v>54</v>
      </c>
      <c r="I11" s="40" t="str">
        <f t="shared" si="2"/>
        <v>EV/Sales – peers (25th–75th pct) (71–110)</v>
      </c>
      <c r="J11" s="198">
        <f t="shared" si="3"/>
        <v>21.187710430776207</v>
      </c>
      <c r="K11" s="198">
        <f t="shared" si="4"/>
        <v>39.090110938388591</v>
      </c>
    </row>
    <row r="12" spans="2:11" x14ac:dyDescent="0.35">
      <c r="I12" s="40" t="str">
        <f>"Current share price ("&amp;FIXED(C13,0)&amp;")"</f>
        <v>Current share price (122)</v>
      </c>
      <c r="J12" s="198">
        <f>MAX(0,C13-$C$18-$C$19/2)</f>
        <v>71.158385238912587</v>
      </c>
      <c r="K12" s="198">
        <f>$C$19</f>
        <v>1.6832295221748297</v>
      </c>
    </row>
    <row r="13" spans="2:11" x14ac:dyDescent="0.35">
      <c r="B13" s="11" t="s">
        <v>842</v>
      </c>
      <c r="C13" s="203">
        <f>Inputs!$C$27</f>
        <v>122</v>
      </c>
      <c r="I13" s="40" t="str">
        <f>"Fair value today ("&amp;FIXED(C14,0)&amp;")"</f>
        <v>Fair value today (138)</v>
      </c>
      <c r="J13" s="198">
        <f>MAX(0,C14-$C$18-$C$19/2)</f>
        <v>87.305296609246284</v>
      </c>
      <c r="K13" s="198">
        <f>$C$19</f>
        <v>1.6832295221748297</v>
      </c>
    </row>
    <row r="14" spans="2:11" x14ac:dyDescent="0.35">
      <c r="B14" s="11" t="s">
        <v>843</v>
      </c>
      <c r="C14" s="171">
        <f>DCF!$E$104</f>
        <v>138.1469113703337</v>
      </c>
      <c r="G14" s="202" t="s">
        <v>844</v>
      </c>
      <c r="I14" s="40" t="str">
        <f>"12m target price – rolled forward ("&amp;FIXED(C16,0)&amp;")"</f>
        <v>12m target price – rolled forward (146)</v>
      </c>
      <c r="J14" s="198">
        <f>MAX(0,C16-$C$18-$C$19/2)</f>
        <v>95.158385238912587</v>
      </c>
      <c r="K14" s="198">
        <f>$C$19</f>
        <v>1.6832295221748297</v>
      </c>
    </row>
    <row r="15" spans="2:11" x14ac:dyDescent="0.35">
      <c r="B15" s="40" t="s">
        <v>845</v>
      </c>
      <c r="C15" s="198">
        <f>DCF!$E$83</f>
        <v>139.11050532301047</v>
      </c>
    </row>
    <row r="16" spans="2:11" x14ac:dyDescent="0.35">
      <c r="B16" s="40" t="s">
        <v>846</v>
      </c>
      <c r="C16" s="198">
        <f>DCF!$E$109</f>
        <v>146</v>
      </c>
      <c r="G16" s="202" t="s">
        <v>847</v>
      </c>
    </row>
    <row r="17" spans="2:9" x14ac:dyDescent="0.35">
      <c r="B17" s="40" t="s">
        <v>848</v>
      </c>
      <c r="C17" s="198">
        <f>Inputs!$C$35</f>
        <v>135</v>
      </c>
    </row>
    <row r="18" spans="2:9" x14ac:dyDescent="0.35">
      <c r="B18" s="40" t="s">
        <v>849</v>
      </c>
      <c r="C18" s="141">
        <f>ROUNDDOWN(MIN(C5:C11,C13:C16)*0.85/10,0)*10</f>
        <v>50</v>
      </c>
    </row>
    <row r="19" spans="2:9" x14ac:dyDescent="0.35">
      <c r="B19" s="40" t="s">
        <v>850</v>
      </c>
      <c r="C19" s="198">
        <f>MAX(0.5,(MAX(D5:D11,C13:C16)-C18)/90)</f>
        <v>1.6832295221748297</v>
      </c>
      <c r="I19" s="15" t="s">
        <v>851</v>
      </c>
    </row>
  </sheetData>
  <printOptions horizontalCentered="1"/>
  <pageMargins left="0.4" right="0.4" top="1" bottom="1" header="0.5" footer="0.5"/>
  <pageSetup paperSize="9" fitToHeight="0"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F7FA0"/>
    <pageSetUpPr fitToPage="1"/>
  </sheetPr>
  <dimension ref="B2:N22"/>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Example Company ASA</v>
      </c>
    </row>
    <row r="9" spans="2:14" ht="22" customHeight="1" x14ac:dyDescent="0.4">
      <c r="D9" s="34" t="s">
        <v>146</v>
      </c>
    </row>
    <row r="12" spans="2:14" ht="30" customHeight="1" x14ac:dyDescent="0.6">
      <c r="D12" s="3" t="s">
        <v>852</v>
      </c>
    </row>
    <row r="14" spans="2:14" x14ac:dyDescent="0.35">
      <c r="D14" s="4" t="s">
        <v>61</v>
      </c>
    </row>
    <row r="17" spans="4:6" ht="16" customHeight="1" x14ac:dyDescent="0.35">
      <c r="D17" s="35" t="s">
        <v>62</v>
      </c>
      <c r="E17" s="36" t="s">
        <v>63</v>
      </c>
      <c r="F17" s="37" t="s">
        <v>64</v>
      </c>
    </row>
    <row r="18" spans="4:6" ht="16" customHeight="1" x14ac:dyDescent="0.35">
      <c r="D18" s="35" t="s">
        <v>65</v>
      </c>
      <c r="E18" s="36" t="s">
        <v>66</v>
      </c>
      <c r="F18" s="37" t="s">
        <v>67</v>
      </c>
    </row>
    <row r="19" spans="4:6" ht="16" customHeight="1" x14ac:dyDescent="0.35">
      <c r="D19" s="35" t="s">
        <v>68</v>
      </c>
      <c r="E19" s="36" t="s">
        <v>69</v>
      </c>
      <c r="F19" s="37" t="s">
        <v>70</v>
      </c>
    </row>
    <row r="22" spans="4:6" x14ac:dyDescent="0.35">
      <c r="D22" s="38" t="s">
        <v>147</v>
      </c>
    </row>
  </sheetData>
  <hyperlinks>
    <hyperlink ref="D17" location="'Reverse_DCF'!A1" display="Reverse_DCF" xr:uid="{00000000-0004-0000-1100-000000000000}"/>
    <hyperlink ref="D18" location="'Consensus'!A1" display="Consensus" xr:uid="{00000000-0004-0000-1100-000001000000}"/>
    <hyperlink ref="D19" location="'Thesis'!A1" display="Thesis" xr:uid="{00000000-0004-0000-1100-000002000000}"/>
    <hyperlink ref="D22" location="'Cover'!A1" display="← Back to cover" xr:uid="{00000000-0004-0000-1100-000003000000}"/>
  </hyperlinks>
  <printOptions horizontalCentered="1"/>
  <pageMargins left="0.4" right="0.4" top="1" bottom="1" header="0.5" footer="0.5"/>
  <pageSetup paperSize="9"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F7FA0"/>
    <pageSetUpPr fitToPage="1"/>
  </sheetPr>
  <dimension ref="B1:K131"/>
  <sheetViews>
    <sheetView showGridLines="0" zoomScale="90" workbookViewId="0">
      <pane ySplit="3" topLeftCell="A4" activePane="bottomLeft" state="frozen"/>
      <selection pane="bottomLeft"/>
    </sheetView>
  </sheetViews>
  <sheetFormatPr defaultRowHeight="14.5" outlineLevelRow="1" x14ac:dyDescent="0.35"/>
  <cols>
    <col min="1" max="1" width="2" customWidth="1"/>
    <col min="2" max="2" width="60" customWidth="1"/>
    <col min="3" max="4" width="14" customWidth="1"/>
    <col min="5" max="6" width="13" customWidth="1"/>
    <col min="7" max="7" width="46" customWidth="1"/>
    <col min="8" max="8" width="2" customWidth="1"/>
    <col min="9" max="9" width="13" customWidth="1"/>
    <col min="10" max="10" width="19" customWidth="1"/>
    <col min="11" max="11" width="13" customWidth="1"/>
  </cols>
  <sheetData>
    <row r="1" spans="2:11" ht="24" customHeight="1" x14ac:dyDescent="0.4">
      <c r="B1" s="30" t="s">
        <v>853</v>
      </c>
      <c r="K1" s="54" t="str">
        <f>Inputs!$C$6&amp;"  |  Scenario: "&amp;Inputs!$C$53</f>
        <v>Example Company ASA  |  Scenario: Base</v>
      </c>
    </row>
    <row r="2" spans="2:11" x14ac:dyDescent="0.35">
      <c r="B2" s="15" t="s">
        <v>854</v>
      </c>
    </row>
    <row r="4" spans="2:11" x14ac:dyDescent="0.35">
      <c r="B4" s="31" t="s">
        <v>855</v>
      </c>
      <c r="C4" s="31"/>
      <c r="D4" s="31"/>
      <c r="E4" s="31"/>
      <c r="F4" s="31"/>
      <c r="G4" s="31"/>
    </row>
    <row r="5" spans="2:11" x14ac:dyDescent="0.35">
      <c r="B5" s="18" t="s">
        <v>383</v>
      </c>
      <c r="C5" s="86" t="s">
        <v>856</v>
      </c>
      <c r="D5" s="86" t="s">
        <v>857</v>
      </c>
      <c r="E5" s="86" t="s">
        <v>858</v>
      </c>
      <c r="F5" s="86" t="s">
        <v>859</v>
      </c>
      <c r="G5" s="18" t="s">
        <v>860</v>
      </c>
    </row>
    <row r="6" spans="2:11" x14ac:dyDescent="0.35">
      <c r="B6" s="11" t="str">
        <f>"EBIT adj. margin, "&amp;Model!$S$5</f>
        <v>EBIT adj. margin, 2033E</v>
      </c>
      <c r="C6" s="114">
        <f>IF(ISNUMBER(C27),Model!$S$86+C27,"n.a.")</f>
        <v>0.17059578659830296</v>
      </c>
      <c r="D6" s="78">
        <f>Model!$S$86</f>
        <v>0.19059584681200054</v>
      </c>
      <c r="E6" s="204">
        <f t="shared" ref="E6:E11" si="0">IF(ISNUMBER(C6),C6-D6,"n.a.")</f>
        <v>-2.0000060213697574E-2</v>
      </c>
      <c r="F6" s="78">
        <f>Model!$K$86</f>
        <v>0.17498619547211483</v>
      </c>
      <c r="G6" s="99" t="str">
        <f>"Last actual year ("&amp;Model!$K$5&amp;")"</f>
        <v>Last actual year (2025A)</v>
      </c>
    </row>
    <row r="7" spans="2:11" x14ac:dyDescent="0.35">
      <c r="B7" s="40" t="s">
        <v>861</v>
      </c>
      <c r="C7" s="114">
        <f>IF(ISNUMBER(C27),AVERAGE(Model!$L$86:$S$86)+C27,"n.a.")</f>
        <v>0.16371707075729638</v>
      </c>
      <c r="D7" s="45">
        <f>AVERAGE(Model!$L$86:$S$86)</f>
        <v>0.18371713097099396</v>
      </c>
      <c r="E7" s="204">
        <f t="shared" si="0"/>
        <v>-2.0000060213697574E-2</v>
      </c>
      <c r="F7" s="45">
        <f>AVERAGE(Model!$I$86:$K$86)</f>
        <v>0.16366167974901105</v>
      </c>
      <c r="G7" s="202" t="s">
        <v>862</v>
      </c>
    </row>
    <row r="8" spans="2:11" x14ac:dyDescent="0.35">
      <c r="B8" s="11" t="str">
        <f>"Revenue CAGR, "&amp;Model!$K$5&amp;"–"&amp;Model!$S$5</f>
        <v>Revenue CAGR, 2025A–2033E</v>
      </c>
      <c r="C8" s="114">
        <f>C36</f>
        <v>4.6257618365537816E-2</v>
      </c>
      <c r="D8" s="45">
        <f>(Model!$S$67/Model!$K$67)^(1/8)-1</f>
        <v>5.3509445956267498E-2</v>
      </c>
      <c r="E8" s="204">
        <f t="shared" si="0"/>
        <v>-7.2518275907296828E-3</v>
      </c>
      <c r="F8" s="45">
        <f>(Model!$K$67/Model!$H$67)^(1/3)-1</f>
        <v>8.4281596478647858E-2</v>
      </c>
      <c r="G8" s="202" t="s">
        <v>863</v>
      </c>
    </row>
    <row r="9" spans="2:11" x14ac:dyDescent="0.35">
      <c r="B9" s="58" t="s">
        <v>864</v>
      </c>
      <c r="C9" s="114">
        <f>C37</f>
        <v>0.17618158852724905</v>
      </c>
      <c r="D9" s="78">
        <f>Model!$S$86</f>
        <v>0.19059584681200054</v>
      </c>
      <c r="E9" s="204">
        <f t="shared" si="0"/>
        <v>-1.4414258284751486E-2</v>
      </c>
      <c r="G9" s="202" t="s">
        <v>865</v>
      </c>
    </row>
    <row r="10" spans="2:11" x14ac:dyDescent="0.35">
      <c r="B10" s="40" t="s">
        <v>45</v>
      </c>
      <c r="C10" s="124">
        <f>C84</f>
        <v>9.872874352001193E-2</v>
      </c>
      <c r="D10" s="205">
        <f>WACC!$C$34</f>
        <v>8.9875829156050191E-2</v>
      </c>
      <c r="E10" s="204">
        <f t="shared" si="0"/>
        <v>8.8529143639617391E-3</v>
      </c>
      <c r="G10" s="202" t="s">
        <v>866</v>
      </c>
    </row>
    <row r="11" spans="2:11" x14ac:dyDescent="0.35">
      <c r="B11" s="40" t="s">
        <v>651</v>
      </c>
      <c r="C11" s="124">
        <f>C131</f>
        <v>-3.3503664840585076E-2</v>
      </c>
      <c r="D11" s="205">
        <f>Drivers!$H$91</f>
        <v>0.02</v>
      </c>
      <c r="E11" s="204">
        <f t="shared" si="0"/>
        <v>-5.350366484058508E-2</v>
      </c>
      <c r="G11" s="202" t="s">
        <v>866</v>
      </c>
    </row>
    <row r="13" spans="2:11" x14ac:dyDescent="0.35">
      <c r="B13" s="40" t="s">
        <v>867</v>
      </c>
      <c r="C13" s="206">
        <f>Inputs!$C$27</f>
        <v>122</v>
      </c>
      <c r="G13" s="15" t="s">
        <v>868</v>
      </c>
    </row>
    <row r="14" spans="2:11" x14ac:dyDescent="0.35">
      <c r="B14" s="40" t="s">
        <v>869</v>
      </c>
      <c r="C14" s="206">
        <f>DCF!$E$83</f>
        <v>139.11050532301047</v>
      </c>
    </row>
    <row r="15" spans="2:11" x14ac:dyDescent="0.35">
      <c r="B15" s="40" t="s">
        <v>870</v>
      </c>
      <c r="C15" s="207">
        <f>DCF!$E$85</f>
        <v>0.14025004363123328</v>
      </c>
    </row>
    <row r="17" spans="2:11" x14ac:dyDescent="0.35">
      <c r="B17" s="31" t="s">
        <v>871</v>
      </c>
      <c r="C17" s="31"/>
      <c r="D17" s="31"/>
      <c r="E17" s="31"/>
      <c r="F17" s="31"/>
      <c r="G17" s="31"/>
    </row>
    <row r="18" spans="2:11" ht="27" customHeight="1" x14ac:dyDescent="0.35">
      <c r="B18" s="258" t="str">
        <f>IF(ISNUMBER(C6),"At NOK "&amp;FIXED(C13,0)&amp;" the market prices in an EBIT adj. margin of "&amp;FIXED(C6*100,1)&amp;"% in "&amp;Model!$S$5&amp;" – our base case is "&amp;FIXED(D6*100,1)&amp;"%, and the company earned "&amp;FIXED(F6*100,1)&amp;"% in "&amp;Model!$K$5&amp;".","EBIT margin: the share price is outside the solver range.")</f>
        <v>At NOK 122 the market prices in an EBIT adj. margin of 17,1% in 2033E – our base case is 19,1%, and the company earned 17,5% in 2025A.</v>
      </c>
      <c r="C18" s="253"/>
      <c r="D18" s="253"/>
      <c r="E18" s="253"/>
      <c r="F18" s="253"/>
      <c r="G18" s="253"/>
    </row>
    <row r="19" spans="2:11" ht="27" customHeight="1" x14ac:dyDescent="0.35">
      <c r="B19" s="257" t="str">
        <f>IF(ISNUMBER(C8),"Or revenue growth of "&amp;FIXED(C8*100,1)&amp;"% a year to "&amp;Model!$S$5&amp;" (our base case "&amp;FIXED(D8*100,1)&amp;"%), which with our cost base also means an EBIT margin of "&amp;FIXED(C9*100,1)&amp;"%.","Growth: the share price is outside the range of Sensitivity table 5.")</f>
        <v>Or revenue growth of 4,6% a year to 2033E (our base case 5,4%), which with our cost base also means an EBIT margin of 17,6%.</v>
      </c>
      <c r="C19" s="253"/>
      <c r="D19" s="253"/>
      <c r="E19" s="253"/>
      <c r="F19" s="253"/>
      <c r="G19" s="253"/>
    </row>
    <row r="20" spans="2:11" ht="27" customHeight="1" x14ac:dyDescent="0.35">
      <c r="B20" s="257" t="str">
        <f>IF(AND(ISNUMBER(C10),ISNUMBER(C11)),"Or a WACC of "&amp;FIXED(C10*100,1)&amp;"% (ours "&amp;FIXED(D10*100,1)&amp;"%), or terminal growth of "&amp;FIXED(C11*100,1)&amp;"% (ours "&amp;FIXED(D11*100,1)&amp;"%).","WACC / terminal growth: the share price is outside the solver range.")</f>
        <v>Or a WACC of 9,9% (ours 9,0%), or terminal growth of -3,4% (ours 2,0%).</v>
      </c>
      <c r="C20" s="253"/>
      <c r="D20" s="253"/>
      <c r="E20" s="253"/>
      <c r="F20" s="253"/>
      <c r="G20" s="253"/>
    </row>
    <row r="22" spans="2:11" x14ac:dyDescent="0.35">
      <c r="B22" s="31" t="s">
        <v>872</v>
      </c>
      <c r="C22" s="31"/>
      <c r="D22" s="31"/>
      <c r="E22" s="31"/>
      <c r="F22" s="31"/>
      <c r="G22" s="31"/>
      <c r="I22" s="173" t="s">
        <v>873</v>
      </c>
      <c r="J22" s="173" t="s">
        <v>845</v>
      </c>
      <c r="K22" s="173" t="s">
        <v>186</v>
      </c>
    </row>
    <row r="23" spans="2:11" x14ac:dyDescent="0.35">
      <c r="B23" s="40" t="s">
        <v>874</v>
      </c>
      <c r="C23" s="141">
        <f>SUMPRODUCT(DCF!$L$23:$S$23,1-Drivers!$L$81:$S$81,DCF!$L$44:$S$44,DCF!$L$47:$S$47)</f>
        <v>29628.534868323575</v>
      </c>
      <c r="I23" s="208">
        <v>-0.05</v>
      </c>
      <c r="J23" s="209">
        <f>DCF!$E$83+I23*100*$C$26</f>
        <v>96.334370800945692</v>
      </c>
      <c r="K23" s="210">
        <f>Inputs!$C$27</f>
        <v>122</v>
      </c>
    </row>
    <row r="24" spans="2:11" x14ac:dyDescent="0.35">
      <c r="B24" s="40" t="s">
        <v>875</v>
      </c>
      <c r="C24" s="141">
        <f>IF(Inputs!$C$58=1,DCF!$T$23*(1-Drivers!$H$94)*(1-DCF!$E$52/DCF!$E$55)*IF(Drivers!$E$92="",1,0),DCF!$S$23*(1-Drivers!$S$81)*(1+DCF!$E$52))</f>
        <v>5465.8877029095775</v>
      </c>
      <c r="I24" s="208">
        <v>-4.4999999999999998E-2</v>
      </c>
      <c r="J24" s="209">
        <f>DCF!$E$83+I24*100*$C$26</f>
        <v>100.61198425315217</v>
      </c>
      <c r="K24" s="210">
        <f>Inputs!$C$27</f>
        <v>122</v>
      </c>
    </row>
    <row r="25" spans="2:11" x14ac:dyDescent="0.35">
      <c r="B25" s="40" t="s">
        <v>876</v>
      </c>
      <c r="C25" s="141">
        <f>Inputs!$C$56*C24/(DCF!$E$53-DCF!$E$52)*DCF!$E$63+Inputs!$C$57*DCF!$S$23*DCF!$E$61*DCF!$E$64</f>
        <v>43604.207433451324</v>
      </c>
      <c r="I25" s="208">
        <v>-0.04</v>
      </c>
      <c r="J25" s="209">
        <f>DCF!$E$83+I25*100*$C$26</f>
        <v>104.88959770535865</v>
      </c>
      <c r="K25" s="210">
        <f>Inputs!$C$27</f>
        <v>122</v>
      </c>
    </row>
    <row r="26" spans="2:11" x14ac:dyDescent="0.35">
      <c r="B26" s="40" t="s">
        <v>877</v>
      </c>
      <c r="C26" s="198">
        <f>(C23+C25)/Inputs!$C$31/100</f>
        <v>8.5552269044129563</v>
      </c>
      <c r="G26" s="15" t="s">
        <v>878</v>
      </c>
      <c r="I26" s="208">
        <v>-3.5000000000000003E-2</v>
      </c>
      <c r="J26" s="209">
        <f>DCF!$E$83+I26*100*$C$26</f>
        <v>109.16721115756512</v>
      </c>
      <c r="K26" s="210">
        <f>Inputs!$C$27</f>
        <v>122</v>
      </c>
    </row>
    <row r="27" spans="2:11" x14ac:dyDescent="0.35">
      <c r="B27" s="11" t="s">
        <v>879</v>
      </c>
      <c r="C27" s="211">
        <f>IF(C26=0,"n.a.",(Inputs!$C$27-DCF!$E$83)/C26/100)</f>
        <v>-2.0000060213697584E-2</v>
      </c>
      <c r="I27" s="208">
        <v>-0.03</v>
      </c>
      <c r="J27" s="209">
        <f>DCF!$E$83+I27*100*$C$26</f>
        <v>113.4448246097716</v>
      </c>
      <c r="K27" s="210">
        <f>Inputs!$C$27</f>
        <v>122</v>
      </c>
    </row>
    <row r="28" spans="2:11" x14ac:dyDescent="0.35">
      <c r="B28" s="40" t="s">
        <v>880</v>
      </c>
      <c r="C28" s="198">
        <f>IF(ISNUMBER(C27),DCF!$E$83+C27*100*C26,"n.a.")</f>
        <v>122</v>
      </c>
      <c r="I28" s="208">
        <v>-2.5000000000000001E-2</v>
      </c>
      <c r="J28" s="209">
        <f>DCF!$E$83+I28*100*$C$26</f>
        <v>117.72243806197808</v>
      </c>
      <c r="K28" s="210">
        <f>Inputs!$C$27</f>
        <v>122</v>
      </c>
    </row>
    <row r="29" spans="2:11" x14ac:dyDescent="0.35">
      <c r="I29" s="208">
        <v>-0.02</v>
      </c>
      <c r="J29" s="209">
        <f>DCF!$E$83+I29*100*$C$26</f>
        <v>122.00005151418456</v>
      </c>
      <c r="K29" s="210">
        <f>Inputs!$C$27</f>
        <v>122</v>
      </c>
    </row>
    <row r="30" spans="2:11" x14ac:dyDescent="0.35">
      <c r="B30" s="31" t="s">
        <v>881</v>
      </c>
      <c r="C30" s="31"/>
      <c r="D30" s="31"/>
      <c r="E30" s="31"/>
      <c r="F30" s="31"/>
      <c r="G30" s="31"/>
      <c r="I30" s="208">
        <v>-1.4999999999999999E-2</v>
      </c>
      <c r="J30" s="209">
        <f>DCF!$E$83+I30*100*$C$26</f>
        <v>126.27766496639103</v>
      </c>
      <c r="K30" s="210">
        <f>Inputs!$C$27</f>
        <v>122</v>
      </c>
    </row>
    <row r="31" spans="2:11" x14ac:dyDescent="0.35">
      <c r="B31" s="40" t="s">
        <v>882</v>
      </c>
      <c r="C31" s="212">
        <f>IFERROR(MATCH(Inputs!$C$27,Sensitivity!$D$55:$D$87,1),0)</f>
        <v>19</v>
      </c>
      <c r="G31" s="15" t="s">
        <v>883</v>
      </c>
      <c r="I31" s="208">
        <v>-0.01</v>
      </c>
      <c r="J31" s="209">
        <f>DCF!$E$83+I31*100*$C$26</f>
        <v>130.55527841859751</v>
      </c>
      <c r="K31" s="210">
        <f>Inputs!$C$27</f>
        <v>122</v>
      </c>
    </row>
    <row r="32" spans="2:11" x14ac:dyDescent="0.35">
      <c r="B32" s="40" t="s">
        <v>884</v>
      </c>
      <c r="C32" s="213">
        <f>IF(AND(C31&gt;0,C31&lt;33),INDEX(Sensitivity!$C$55:$C$87,C31),"n.a.")</f>
        <v>-0.01</v>
      </c>
      <c r="D32" s="213">
        <f>IF(AND(C31&gt;0,C31&lt;33),INDEX(Sensitivity!$C$55:$C$87,C31+1),"n.a.")</f>
        <v>-5.0000000000000001E-3</v>
      </c>
      <c r="I32" s="208">
        <v>-5.0000000000000001E-3</v>
      </c>
      <c r="J32" s="209">
        <f>DCF!$E$83+I32*100*$C$26</f>
        <v>134.83289187080399</v>
      </c>
      <c r="K32" s="210">
        <f>Inputs!$C$27</f>
        <v>122</v>
      </c>
    </row>
    <row r="33" spans="2:11" x14ac:dyDescent="0.35">
      <c r="B33" s="40" t="s">
        <v>885</v>
      </c>
      <c r="C33" s="198">
        <f>IF(AND(C31&gt;0,C31&lt;33),INDEX(Sensitivity!$D$55:$D$87,C31),"n.a.")</f>
        <v>114.58373361400655</v>
      </c>
      <c r="D33" s="198">
        <f>IF(AND(C31&gt;0,C31&lt;33),INDEX(Sensitivity!$D$55:$D$87,C31+1),"n.a.")</f>
        <v>126.6533709413783</v>
      </c>
      <c r="I33" s="208">
        <v>0</v>
      </c>
      <c r="J33" s="209">
        <f>DCF!$E$83+I33*100*$C$26</f>
        <v>139.11050532301047</v>
      </c>
      <c r="K33" s="210">
        <f>Inputs!$C$27</f>
        <v>122</v>
      </c>
    </row>
    <row r="34" spans="2:11" x14ac:dyDescent="0.35">
      <c r="B34" s="40" t="s">
        <v>886</v>
      </c>
      <c r="C34" s="119">
        <f>IF(ISNUMBER(C33),(Inputs!$C$27-C33)/(D33-C33),"n.a.")</f>
        <v>0.61445644014296141</v>
      </c>
      <c r="I34" s="208">
        <v>5.0000000000000001E-3</v>
      </c>
      <c r="J34" s="209">
        <f>DCF!$E$83+I34*100*$C$26</f>
        <v>143.38811877521695</v>
      </c>
      <c r="K34" s="210">
        <f>Inputs!$C$27</f>
        <v>122</v>
      </c>
    </row>
    <row r="35" spans="2:11" x14ac:dyDescent="0.35">
      <c r="B35" s="11" t="s">
        <v>887</v>
      </c>
      <c r="C35" s="211">
        <f>IF(ISNUMBER(C34),C32+C34*(D32-C32),"outside range")</f>
        <v>-6.9277177992851935E-3</v>
      </c>
      <c r="I35" s="208">
        <v>0.01</v>
      </c>
      <c r="J35" s="209">
        <f>DCF!$E$83+I35*100*$C$26</f>
        <v>147.66573222742343</v>
      </c>
      <c r="K35" s="210">
        <f>Inputs!$C$27</f>
        <v>122</v>
      </c>
    </row>
    <row r="36" spans="2:11" x14ac:dyDescent="0.35">
      <c r="B36" s="40" t="s">
        <v>888</v>
      </c>
      <c r="C36" s="123">
        <f>IF(ISNUMBER(C34),INDEX(Sensitivity!$E$55:$E$87,C31)+C34*(INDEX(Sensitivity!$E$55:$E$87,C31+1)-INDEX(Sensitivity!$E$55:$E$87,C31)),"n.a.")</f>
        <v>4.6257618365537816E-2</v>
      </c>
      <c r="I36" s="208">
        <v>1.4999999999999999E-2</v>
      </c>
      <c r="J36" s="209">
        <f>DCF!$E$83+I36*100*$C$26</f>
        <v>151.94334567962991</v>
      </c>
      <c r="K36" s="210">
        <f>Inputs!$C$27</f>
        <v>122</v>
      </c>
    </row>
    <row r="37" spans="2:11" x14ac:dyDescent="0.35">
      <c r="B37" s="40" t="s">
        <v>889</v>
      </c>
      <c r="C37" s="123">
        <f>IF(ISNUMBER(C34),INDEX(Sensitivity!$F$55:$F$87,C31)+C34*(INDEX(Sensitivity!$F$55:$F$87,C31+1)-INDEX(Sensitivity!$F$55:$F$87,C31)),"n.a.")</f>
        <v>0.17618158852724905</v>
      </c>
      <c r="I37" s="208">
        <v>0.02</v>
      </c>
      <c r="J37" s="209">
        <f>DCF!$E$83+I37*100*$C$26</f>
        <v>156.22095913183639</v>
      </c>
      <c r="K37" s="210">
        <f>Inputs!$C$27</f>
        <v>122</v>
      </c>
    </row>
    <row r="38" spans="2:11" x14ac:dyDescent="0.35">
      <c r="I38" s="208">
        <v>2.5000000000000001E-2</v>
      </c>
      <c r="J38" s="209">
        <f>DCF!$E$83+I38*100*$C$26</f>
        <v>160.49857258404285</v>
      </c>
      <c r="K38" s="210">
        <f>Inputs!$C$27</f>
        <v>122</v>
      </c>
    </row>
    <row r="39" spans="2:11" x14ac:dyDescent="0.35">
      <c r="B39" s="31" t="s">
        <v>890</v>
      </c>
      <c r="C39" s="31"/>
      <c r="D39" s="31"/>
      <c r="E39" s="31"/>
      <c r="F39" s="31"/>
      <c r="G39" s="31"/>
      <c r="I39" s="208">
        <v>0.03</v>
      </c>
      <c r="J39" s="209">
        <f>DCF!$E$83+I39*100*$C$26</f>
        <v>164.77618603624933</v>
      </c>
      <c r="K39" s="210">
        <f>Inputs!$C$27</f>
        <v>122</v>
      </c>
    </row>
    <row r="40" spans="2:11" x14ac:dyDescent="0.35">
      <c r="B40" s="18" t="s">
        <v>891</v>
      </c>
      <c r="C40" s="86" t="s">
        <v>804</v>
      </c>
      <c r="D40" s="86" t="s">
        <v>803</v>
      </c>
      <c r="E40" s="86" t="s">
        <v>892</v>
      </c>
      <c r="F40" s="86" t="s">
        <v>893</v>
      </c>
      <c r="G40" s="86" t="s">
        <v>894</v>
      </c>
    </row>
    <row r="41" spans="2:11" x14ac:dyDescent="0.35">
      <c r="B41" s="40" t="s">
        <v>895</v>
      </c>
      <c r="C41" s="214">
        <f>Drivers!$H$91+0.0025</f>
        <v>2.2499999999999999E-2</v>
      </c>
      <c r="F41" s="198">
        <f>(SUMPRODUCT(DCF!$L$45:$S$45,(1+C41)^(-DCF!$L$46:$S$46))+Inputs!$C$56*IF(Inputs!$C$58=1,DCF!$S$23*(1+Drivers!$H$91)*DCF!$T$29*(1-Drivers!$H$94)*(1-Drivers!$H$91/Drivers!$H$93),DCF!$S$35*(1+Drivers!$H$91))/(C41-Drivers!$H$91)*(1+C41)^(-DCF!$S$46)+Inputs!$C$57*DCF!$S$25*Drivers!$H$95*(1+C41)^(-(Inputs!$C$23+DCF!$S$43-1))+SUM(DCF!$E$75:$E$79))/Inputs!$C$31</f>
        <v>4242.4532138473296</v>
      </c>
    </row>
    <row r="42" spans="2:11" x14ac:dyDescent="0.35">
      <c r="B42" s="40" t="s">
        <v>896</v>
      </c>
      <c r="C42" s="127">
        <v>0.3</v>
      </c>
      <c r="F42" s="198">
        <f>(SUMPRODUCT(DCF!$L$45:$S$45,(1+C42)^(-DCF!$L$46:$S$46))+Inputs!$C$56*IF(Inputs!$C$58=1,DCF!$S$23*(1+Drivers!$H$91)*DCF!$T$29*(1-Drivers!$H$94)*(1-Drivers!$H$91/Drivers!$H$93),DCF!$S$35*(1+Drivers!$H$91))/(C42-Drivers!$H$91)*(1+C42)^(-DCF!$S$46)+Inputs!$C$57*DCF!$S$25*Drivers!$H$95*(1+C42)^(-(Inputs!$C$23+DCF!$S$43-1))+SUM(DCF!$E$75:$E$79))/Inputs!$C$31</f>
        <v>25.302635735255329</v>
      </c>
    </row>
    <row r="43" spans="2:11" x14ac:dyDescent="0.35">
      <c r="B43" s="40" t="s">
        <v>897</v>
      </c>
      <c r="C43" s="212">
        <f>IF((F41-Inputs!$C$27)*(F42-Inputs!$C$27)&lt;=0,1,0)</f>
        <v>1</v>
      </c>
    </row>
    <row r="44" spans="2:11" hidden="1" outlineLevel="1" x14ac:dyDescent="0.35">
      <c r="B44" s="215">
        <v>1</v>
      </c>
      <c r="C44" s="214">
        <f>C41</f>
        <v>2.2499999999999999E-2</v>
      </c>
      <c r="D44" s="214">
        <f>C42</f>
        <v>0.3</v>
      </c>
      <c r="E44" s="216">
        <f t="shared" ref="E44:E83" si="1">(C44+D44)/2</f>
        <v>0.16125</v>
      </c>
      <c r="F44" s="198">
        <f>(SUMPRODUCT(DCF!$L$45:$S$45,(1+E44)^(-DCF!$L$46:$S$46))+Inputs!$C$56*IF(Inputs!$C$58=1,DCF!$S$23*(1+Drivers!$H$91)*DCF!$T$29*(1-Drivers!$H$94)*(1-Drivers!$H$91/Drivers!$H$93),DCF!$S$35*(1+Drivers!$H$91))/(E44-Drivers!$H$91)*(1+E44)^(-DCF!$S$46)+Inputs!$C$57*DCF!$S$25*Drivers!$H$95*(1+E44)^(-(Inputs!$C$23+DCF!$S$43-1))+SUM(DCF!$E$75:$E$79))/Inputs!$C$31</f>
        <v>62.293950275935821</v>
      </c>
      <c r="G44" s="198">
        <f>F41</f>
        <v>4242.4532138473296</v>
      </c>
    </row>
    <row r="45" spans="2:11" hidden="1" outlineLevel="1" x14ac:dyDescent="0.35">
      <c r="B45" s="215">
        <v>2</v>
      </c>
      <c r="C45" s="214">
        <f>IF(SIGN(F44-Inputs!$C$27)=SIGN(G44-Inputs!$C$27),E44,C44)</f>
        <v>2.2499999999999999E-2</v>
      </c>
      <c r="D45" s="214">
        <f>IF(SIGN(F44-Inputs!$C$27)=SIGN(G44-Inputs!$C$27),D44,E44)</f>
        <v>0.16125</v>
      </c>
      <c r="E45" s="216">
        <f t="shared" si="1"/>
        <v>9.1874999999999998E-2</v>
      </c>
      <c r="F45" s="198">
        <f>(SUMPRODUCT(DCF!$L$45:$S$45,(1+E45)^(-DCF!$L$46:$S$46))+Inputs!$C$56*IF(Inputs!$C$58=1,DCF!$S$23*(1+Drivers!$H$91)*DCF!$T$29*(1-Drivers!$H$94)*(1-Drivers!$H$91/Drivers!$H$93),DCF!$S$35*(1+Drivers!$H$91))/(E45-Drivers!$H$91)*(1+E45)^(-DCF!$S$46)+Inputs!$C$57*DCF!$S$25*Drivers!$H$95*(1+E45)^(-(Inputs!$C$23+DCF!$S$43-1))+SUM(DCF!$E$75:$E$79))/Inputs!$C$31</f>
        <v>134.87778718934965</v>
      </c>
      <c r="G45" s="198">
        <f>IF(SIGN(F44-Inputs!$C$27)=SIGN(G44-Inputs!$C$27),F44,G44)</f>
        <v>4242.4532138473296</v>
      </c>
    </row>
    <row r="46" spans="2:11" hidden="1" outlineLevel="1" x14ac:dyDescent="0.35">
      <c r="B46" s="215">
        <v>3</v>
      </c>
      <c r="C46" s="214">
        <f>IF(SIGN(F45-Inputs!$C$27)=SIGN(G45-Inputs!$C$27),E45,C45)</f>
        <v>9.1874999999999998E-2</v>
      </c>
      <c r="D46" s="214">
        <f>IF(SIGN(F45-Inputs!$C$27)=SIGN(G45-Inputs!$C$27),D45,E45)</f>
        <v>0.16125</v>
      </c>
      <c r="E46" s="216">
        <f t="shared" si="1"/>
        <v>0.12656249999999999</v>
      </c>
      <c r="F46" s="198">
        <f>(SUMPRODUCT(DCF!$L$45:$S$45,(1+E46)^(-DCF!$L$46:$S$46))+Inputs!$C$56*IF(Inputs!$C$58=1,DCF!$S$23*(1+Drivers!$H$91)*DCF!$T$29*(1-Drivers!$H$94)*(1-Drivers!$H$91/Drivers!$H$93),DCF!$S$35*(1+Drivers!$H$91))/(E46-Drivers!$H$91)*(1+E46)^(-DCF!$S$46)+Inputs!$C$57*DCF!$S$25*Drivers!$H$95*(1+E46)^(-(Inputs!$C$23+DCF!$S$43-1))+SUM(DCF!$E$75:$E$79))/Inputs!$C$31</f>
        <v>86.745076524114026</v>
      </c>
      <c r="G46" s="198">
        <f>IF(SIGN(F45-Inputs!$C$27)=SIGN(G45-Inputs!$C$27),F45,G45)</f>
        <v>134.87778718934965</v>
      </c>
    </row>
    <row r="47" spans="2:11" hidden="1" outlineLevel="1" x14ac:dyDescent="0.35">
      <c r="B47" s="215">
        <v>4</v>
      </c>
      <c r="C47" s="214">
        <f>IF(SIGN(F46-Inputs!$C$27)=SIGN(G46-Inputs!$C$27),E46,C46)</f>
        <v>9.1874999999999998E-2</v>
      </c>
      <c r="D47" s="214">
        <f>IF(SIGN(F46-Inputs!$C$27)=SIGN(G46-Inputs!$C$27),D46,E46)</f>
        <v>0.12656249999999999</v>
      </c>
      <c r="E47" s="216">
        <f t="shared" si="1"/>
        <v>0.10921875</v>
      </c>
      <c r="F47" s="198">
        <f>(SUMPRODUCT(DCF!$L$45:$S$45,(1+E47)^(-DCF!$L$46:$S$46))+Inputs!$C$56*IF(Inputs!$C$58=1,DCF!$S$23*(1+Drivers!$H$91)*DCF!$T$29*(1-Drivers!$H$94)*(1-Drivers!$H$91/Drivers!$H$93),DCF!$S$35*(1+Drivers!$H$91))/(E47-Drivers!$H$91)*(1+E47)^(-DCF!$S$46)+Inputs!$C$57*DCF!$S$25*Drivers!$H$95*(1+E47)^(-(Inputs!$C$23+DCF!$S$43-1))+SUM(DCF!$E$75:$E$79))/Inputs!$C$31</f>
        <v>106.12561406638305</v>
      </c>
      <c r="G47" s="198">
        <f>IF(SIGN(F46-Inputs!$C$27)=SIGN(G46-Inputs!$C$27),F46,G46)</f>
        <v>134.87778718934965</v>
      </c>
    </row>
    <row r="48" spans="2:11" hidden="1" outlineLevel="1" x14ac:dyDescent="0.35">
      <c r="B48" s="215">
        <v>5</v>
      </c>
      <c r="C48" s="214">
        <f>IF(SIGN(F47-Inputs!$C$27)=SIGN(G47-Inputs!$C$27),E47,C47)</f>
        <v>9.1874999999999998E-2</v>
      </c>
      <c r="D48" s="214">
        <f>IF(SIGN(F47-Inputs!$C$27)=SIGN(G47-Inputs!$C$27),D47,E47)</f>
        <v>0.10921875</v>
      </c>
      <c r="E48" s="216">
        <f t="shared" si="1"/>
        <v>0.10054687500000001</v>
      </c>
      <c r="F48" s="198">
        <f>(SUMPRODUCT(DCF!$L$45:$S$45,(1+E48)^(-DCF!$L$46:$S$46))+Inputs!$C$56*IF(Inputs!$C$58=1,DCF!$S$23*(1+Drivers!$H$91)*DCF!$T$29*(1-Drivers!$H$94)*(1-Drivers!$H$91/Drivers!$H$93),DCF!$S$35*(1+Drivers!$H$91))/(E48-Drivers!$H$91)*(1+E48)^(-DCF!$S$46)+Inputs!$C$57*DCF!$S$25*Drivers!$H$95*(1+E48)^(-(Inputs!$C$23+DCF!$S$43-1))+SUM(DCF!$E$75:$E$79))/Inputs!$C$31</f>
        <v>118.95201779030249</v>
      </c>
      <c r="G48" s="198">
        <f>IF(SIGN(F47-Inputs!$C$27)=SIGN(G47-Inputs!$C$27),F47,G47)</f>
        <v>134.87778718934965</v>
      </c>
    </row>
    <row r="49" spans="2:7" hidden="1" outlineLevel="1" x14ac:dyDescent="0.35">
      <c r="B49" s="215">
        <v>6</v>
      </c>
      <c r="C49" s="214">
        <f>IF(SIGN(F48-Inputs!$C$27)=SIGN(G48-Inputs!$C$27),E48,C48)</f>
        <v>9.1874999999999998E-2</v>
      </c>
      <c r="D49" s="214">
        <f>IF(SIGN(F48-Inputs!$C$27)=SIGN(G48-Inputs!$C$27),D48,E48)</f>
        <v>0.10054687500000001</v>
      </c>
      <c r="E49" s="216">
        <f t="shared" si="1"/>
        <v>9.621093750000001E-2</v>
      </c>
      <c r="F49" s="198">
        <f>(SUMPRODUCT(DCF!$L$45:$S$45,(1+E49)^(-DCF!$L$46:$S$46))+Inputs!$C$56*IF(Inputs!$C$58=1,DCF!$S$23*(1+Drivers!$H$91)*DCF!$T$29*(1-Drivers!$H$94)*(1-Drivers!$H$91/Drivers!$H$93),DCF!$S$35*(1+Drivers!$H$91))/(E49-Drivers!$H$91)*(1+E49)^(-DCF!$S$46)+Inputs!$C$57*DCF!$S$25*Drivers!$H$95*(1+E49)^(-(Inputs!$C$23+DCF!$S$43-1))+SUM(DCF!$E$75:$E$79))/Inputs!$C$31</f>
        <v>126.46137697082294</v>
      </c>
      <c r="G49" s="198">
        <f>IF(SIGN(F48-Inputs!$C$27)=SIGN(G48-Inputs!$C$27),F48,G48)</f>
        <v>134.87778718934965</v>
      </c>
    </row>
    <row r="50" spans="2:7" hidden="1" outlineLevel="1" x14ac:dyDescent="0.35">
      <c r="B50" s="215">
        <v>7</v>
      </c>
      <c r="C50" s="214">
        <f>IF(SIGN(F49-Inputs!$C$27)=SIGN(G49-Inputs!$C$27),E49,C49)</f>
        <v>9.621093750000001E-2</v>
      </c>
      <c r="D50" s="214">
        <f>IF(SIGN(F49-Inputs!$C$27)=SIGN(G49-Inputs!$C$27),D49,E49)</f>
        <v>0.10054687500000001</v>
      </c>
      <c r="E50" s="216">
        <f t="shared" si="1"/>
        <v>9.8378906250000009E-2</v>
      </c>
      <c r="F50" s="198">
        <f>(SUMPRODUCT(DCF!$L$45:$S$45,(1+E50)^(-DCF!$L$46:$S$46))+Inputs!$C$56*IF(Inputs!$C$58=1,DCF!$S$23*(1+Drivers!$H$91)*DCF!$T$29*(1-Drivers!$H$94)*(1-Drivers!$H$91/Drivers!$H$93),DCF!$S$35*(1+Drivers!$H$91))/(E50-Drivers!$H$91)*(1+E50)^(-DCF!$S$46)+Inputs!$C$57*DCF!$S$25*Drivers!$H$95*(1+E50)^(-(Inputs!$C$23+DCF!$S$43-1))+SUM(DCF!$E$75:$E$79))/Inputs!$C$31</f>
        <v>122.60272176413599</v>
      </c>
      <c r="G50" s="198">
        <f>IF(SIGN(F49-Inputs!$C$27)=SIGN(G49-Inputs!$C$27),F49,G49)</f>
        <v>126.46137697082294</v>
      </c>
    </row>
    <row r="51" spans="2:7" hidden="1" outlineLevel="1" x14ac:dyDescent="0.35">
      <c r="B51" s="215">
        <v>8</v>
      </c>
      <c r="C51" s="214">
        <f>IF(SIGN(F50-Inputs!$C$27)=SIGN(G50-Inputs!$C$27),E50,C50)</f>
        <v>9.8378906250000009E-2</v>
      </c>
      <c r="D51" s="214">
        <f>IF(SIGN(F50-Inputs!$C$27)=SIGN(G50-Inputs!$C$27),D50,E50)</f>
        <v>0.10054687500000001</v>
      </c>
      <c r="E51" s="216">
        <f t="shared" si="1"/>
        <v>9.9462890625000008E-2</v>
      </c>
      <c r="F51" s="198">
        <f>(SUMPRODUCT(DCF!$L$45:$S$45,(1+E51)^(-DCF!$L$46:$S$46))+Inputs!$C$56*IF(Inputs!$C$58=1,DCF!$S$23*(1+Drivers!$H$91)*DCF!$T$29*(1-Drivers!$H$94)*(1-Drivers!$H$91/Drivers!$H$93),DCF!$S$35*(1+Drivers!$H$91))/(E51-Drivers!$H$91)*(1+E51)^(-DCF!$S$46)+Inputs!$C$57*DCF!$S$25*Drivers!$H$95*(1+E51)^(-(Inputs!$C$23+DCF!$S$43-1))+SUM(DCF!$E$75:$E$79))/Inputs!$C$31</f>
        <v>120.75243933571993</v>
      </c>
      <c r="G51" s="198">
        <f>IF(SIGN(F50-Inputs!$C$27)=SIGN(G50-Inputs!$C$27),F50,G50)</f>
        <v>122.60272176413599</v>
      </c>
    </row>
    <row r="52" spans="2:7" hidden="1" outlineLevel="1" x14ac:dyDescent="0.35">
      <c r="B52" s="215">
        <v>9</v>
      </c>
      <c r="C52" s="214">
        <f>IF(SIGN(F51-Inputs!$C$27)=SIGN(G51-Inputs!$C$27),E51,C51)</f>
        <v>9.8378906250000009E-2</v>
      </c>
      <c r="D52" s="214">
        <f>IF(SIGN(F51-Inputs!$C$27)=SIGN(G51-Inputs!$C$27),D51,E51)</f>
        <v>9.9462890625000008E-2</v>
      </c>
      <c r="E52" s="216">
        <f t="shared" si="1"/>
        <v>9.8920898437500016E-2</v>
      </c>
      <c r="F52" s="198">
        <f>(SUMPRODUCT(DCF!$L$45:$S$45,(1+E52)^(-DCF!$L$46:$S$46))+Inputs!$C$56*IF(Inputs!$C$58=1,DCF!$S$23*(1+Drivers!$H$91)*DCF!$T$29*(1-Drivers!$H$94)*(1-Drivers!$H$91/Drivers!$H$93),DCF!$S$35*(1+Drivers!$H$91))/(E52-Drivers!$H$91)*(1+E52)^(-DCF!$S$46)+Inputs!$C$57*DCF!$S$25*Drivers!$H$95*(1+E52)^(-(Inputs!$C$23+DCF!$S$43-1))+SUM(DCF!$E$75:$E$79))/Inputs!$C$31</f>
        <v>121.67121957082841</v>
      </c>
      <c r="G52" s="198">
        <f>IF(SIGN(F51-Inputs!$C$27)=SIGN(G51-Inputs!$C$27),F51,G51)</f>
        <v>122.60272176413599</v>
      </c>
    </row>
    <row r="53" spans="2:7" hidden="1" outlineLevel="1" x14ac:dyDescent="0.35">
      <c r="B53" s="215">
        <v>10</v>
      </c>
      <c r="C53" s="214">
        <f>IF(SIGN(F52-Inputs!$C$27)=SIGN(G52-Inputs!$C$27),E52,C52)</f>
        <v>9.8378906250000009E-2</v>
      </c>
      <c r="D53" s="214">
        <f>IF(SIGN(F52-Inputs!$C$27)=SIGN(G52-Inputs!$C$27),D52,E52)</f>
        <v>9.8920898437500016E-2</v>
      </c>
      <c r="E53" s="216">
        <f t="shared" si="1"/>
        <v>9.8649902343750012E-2</v>
      </c>
      <c r="F53" s="198">
        <f>(SUMPRODUCT(DCF!$L$45:$S$45,(1+E53)^(-DCF!$L$46:$S$46))+Inputs!$C$56*IF(Inputs!$C$58=1,DCF!$S$23*(1+Drivers!$H$91)*DCF!$T$29*(1-Drivers!$H$94)*(1-Drivers!$H$91/Drivers!$H$93),DCF!$S$35*(1+Drivers!$H$91))/(E53-Drivers!$H$91)*(1+E53)^(-DCF!$S$46)+Inputs!$C$57*DCF!$S$25*Drivers!$H$95*(1+E53)^(-(Inputs!$C$23+DCF!$S$43-1))+SUM(DCF!$E$75:$E$79))/Inputs!$C$31</f>
        <v>122.13536398964195</v>
      </c>
      <c r="G53" s="198">
        <f>IF(SIGN(F52-Inputs!$C$27)=SIGN(G52-Inputs!$C$27),F52,G52)</f>
        <v>122.60272176413599</v>
      </c>
    </row>
    <row r="54" spans="2:7" hidden="1" outlineLevel="1" x14ac:dyDescent="0.35">
      <c r="B54" s="215">
        <v>11</v>
      </c>
      <c r="C54" s="214">
        <f>IF(SIGN(F53-Inputs!$C$27)=SIGN(G53-Inputs!$C$27),E53,C53)</f>
        <v>9.8649902343750012E-2</v>
      </c>
      <c r="D54" s="214">
        <f>IF(SIGN(F53-Inputs!$C$27)=SIGN(G53-Inputs!$C$27),D53,E53)</f>
        <v>9.8920898437500016E-2</v>
      </c>
      <c r="E54" s="216">
        <f t="shared" si="1"/>
        <v>9.8785400390625014E-2</v>
      </c>
      <c r="F54" s="198">
        <f>(SUMPRODUCT(DCF!$L$45:$S$45,(1+E54)^(-DCF!$L$46:$S$46))+Inputs!$C$56*IF(Inputs!$C$58=1,DCF!$S$23*(1+Drivers!$H$91)*DCF!$T$29*(1-Drivers!$H$94)*(1-Drivers!$H$91/Drivers!$H$93),DCF!$S$35*(1+Drivers!$H$91))/(E54-Drivers!$H$91)*(1+E54)^(-DCF!$S$46)+Inputs!$C$57*DCF!$S$25*Drivers!$H$95*(1+E54)^(-(Inputs!$C$23+DCF!$S$43-1))+SUM(DCF!$E$75:$E$79))/Inputs!$C$31</f>
        <v>121.90289218257018</v>
      </c>
      <c r="G54" s="198">
        <f>IF(SIGN(F53-Inputs!$C$27)=SIGN(G53-Inputs!$C$27),F53,G53)</f>
        <v>122.13536398964195</v>
      </c>
    </row>
    <row r="55" spans="2:7" hidden="1" outlineLevel="1" x14ac:dyDescent="0.35">
      <c r="B55" s="215">
        <v>12</v>
      </c>
      <c r="C55" s="214">
        <f>IF(SIGN(F54-Inputs!$C$27)=SIGN(G54-Inputs!$C$27),E54,C54)</f>
        <v>9.8649902343750012E-2</v>
      </c>
      <c r="D55" s="214">
        <f>IF(SIGN(F54-Inputs!$C$27)=SIGN(G54-Inputs!$C$27),D54,E54)</f>
        <v>9.8785400390625014E-2</v>
      </c>
      <c r="E55" s="216">
        <f t="shared" si="1"/>
        <v>9.871765136718752E-2</v>
      </c>
      <c r="F55" s="198">
        <f>(SUMPRODUCT(DCF!$L$45:$S$45,(1+E55)^(-DCF!$L$46:$S$46))+Inputs!$C$56*IF(Inputs!$C$58=1,DCF!$S$23*(1+Drivers!$H$91)*DCF!$T$29*(1-Drivers!$H$94)*(1-Drivers!$H$91/Drivers!$H$93),DCF!$S$35*(1+Drivers!$H$91))/(E55-Drivers!$H$91)*(1+E55)^(-DCF!$S$46)+Inputs!$C$57*DCF!$S$25*Drivers!$H$95*(1+E55)^(-(Inputs!$C$23+DCF!$S$43-1))+SUM(DCF!$E$75:$E$79))/Inputs!$C$31</f>
        <v>122.01902792882979</v>
      </c>
      <c r="G55" s="198">
        <f>IF(SIGN(F54-Inputs!$C$27)=SIGN(G54-Inputs!$C$27),F54,G54)</f>
        <v>122.13536398964195</v>
      </c>
    </row>
    <row r="56" spans="2:7" hidden="1" outlineLevel="1" x14ac:dyDescent="0.35">
      <c r="B56" s="215">
        <v>13</v>
      </c>
      <c r="C56" s="214">
        <f>IF(SIGN(F55-Inputs!$C$27)=SIGN(G55-Inputs!$C$27),E55,C55)</f>
        <v>9.871765136718752E-2</v>
      </c>
      <c r="D56" s="214">
        <f>IF(SIGN(F55-Inputs!$C$27)=SIGN(G55-Inputs!$C$27),D55,E55)</f>
        <v>9.8785400390625014E-2</v>
      </c>
      <c r="E56" s="216">
        <f t="shared" si="1"/>
        <v>9.875152587890626E-2</v>
      </c>
      <c r="F56" s="198">
        <f>(SUMPRODUCT(DCF!$L$45:$S$45,(1+E56)^(-DCF!$L$46:$S$46))+Inputs!$C$56*IF(Inputs!$C$58=1,DCF!$S$23*(1+Drivers!$H$91)*DCF!$T$29*(1-Drivers!$H$94)*(1-Drivers!$H$91/Drivers!$H$93),DCF!$S$35*(1+Drivers!$H$91))/(E56-Drivers!$H$91)*(1+E56)^(-DCF!$S$46)+Inputs!$C$57*DCF!$S$25*Drivers!$H$95*(1+E56)^(-(Inputs!$C$23+DCF!$S$43-1))+SUM(DCF!$E$75:$E$79))/Inputs!$C$31</f>
        <v>121.96093504868277</v>
      </c>
      <c r="G56" s="198">
        <f>IF(SIGN(F55-Inputs!$C$27)=SIGN(G55-Inputs!$C$27),F55,G55)</f>
        <v>122.01902792882979</v>
      </c>
    </row>
    <row r="57" spans="2:7" hidden="1" outlineLevel="1" x14ac:dyDescent="0.35">
      <c r="B57" s="215">
        <v>14</v>
      </c>
      <c r="C57" s="214">
        <f>IF(SIGN(F56-Inputs!$C$27)=SIGN(G56-Inputs!$C$27),E56,C56)</f>
        <v>9.871765136718752E-2</v>
      </c>
      <c r="D57" s="214">
        <f>IF(SIGN(F56-Inputs!$C$27)=SIGN(G56-Inputs!$C$27),D56,E56)</f>
        <v>9.875152587890626E-2</v>
      </c>
      <c r="E57" s="216">
        <f t="shared" si="1"/>
        <v>9.873458862304689E-2</v>
      </c>
      <c r="F57" s="198">
        <f>(SUMPRODUCT(DCF!$L$45:$S$45,(1+E57)^(-DCF!$L$46:$S$46))+Inputs!$C$56*IF(Inputs!$C$58=1,DCF!$S$23*(1+Drivers!$H$91)*DCF!$T$29*(1-Drivers!$H$94)*(1-Drivers!$H$91/Drivers!$H$93),DCF!$S$35*(1+Drivers!$H$91))/(E57-Drivers!$H$91)*(1+E57)^(-DCF!$S$46)+Inputs!$C$57*DCF!$S$25*Drivers!$H$95*(1+E57)^(-(Inputs!$C$23+DCF!$S$43-1))+SUM(DCF!$E$75:$E$79))/Inputs!$C$31</f>
        <v>121.98997523296855</v>
      </c>
      <c r="G57" s="198">
        <f>IF(SIGN(F56-Inputs!$C$27)=SIGN(G56-Inputs!$C$27),F56,G56)</f>
        <v>122.01902792882979</v>
      </c>
    </row>
    <row r="58" spans="2:7" hidden="1" outlineLevel="1" x14ac:dyDescent="0.35">
      <c r="B58" s="215">
        <v>15</v>
      </c>
      <c r="C58" s="214">
        <f>IF(SIGN(F57-Inputs!$C$27)=SIGN(G57-Inputs!$C$27),E57,C57)</f>
        <v>9.871765136718752E-2</v>
      </c>
      <c r="D58" s="214">
        <f>IF(SIGN(F57-Inputs!$C$27)=SIGN(G57-Inputs!$C$27),D57,E57)</f>
        <v>9.873458862304689E-2</v>
      </c>
      <c r="E58" s="216">
        <f t="shared" si="1"/>
        <v>9.8726119995117212E-2</v>
      </c>
      <c r="F58" s="198">
        <f>(SUMPRODUCT(DCF!$L$45:$S$45,(1+E58)^(-DCF!$L$46:$S$46))+Inputs!$C$56*IF(Inputs!$C$58=1,DCF!$S$23*(1+Drivers!$H$91)*DCF!$T$29*(1-Drivers!$H$94)*(1-Drivers!$H$91/Drivers!$H$93),DCF!$S$35*(1+Drivers!$H$91))/(E58-Drivers!$H$91)*(1+E58)^(-DCF!$S$46)+Inputs!$C$57*DCF!$S$25*Drivers!$H$95*(1+E58)^(-(Inputs!$C$23+DCF!$S$43-1))+SUM(DCF!$E$75:$E$79))/Inputs!$C$31</f>
        <v>122.00450001644759</v>
      </c>
      <c r="G58" s="198">
        <f>IF(SIGN(F57-Inputs!$C$27)=SIGN(G57-Inputs!$C$27),F57,G57)</f>
        <v>122.01902792882979</v>
      </c>
    </row>
    <row r="59" spans="2:7" hidden="1" outlineLevel="1" x14ac:dyDescent="0.35">
      <c r="B59" s="215">
        <v>16</v>
      </c>
      <c r="C59" s="214">
        <f>IF(SIGN(F58-Inputs!$C$27)=SIGN(G58-Inputs!$C$27),E58,C58)</f>
        <v>9.8726119995117212E-2</v>
      </c>
      <c r="D59" s="214">
        <f>IF(SIGN(F58-Inputs!$C$27)=SIGN(G58-Inputs!$C$27),D58,E58)</f>
        <v>9.873458862304689E-2</v>
      </c>
      <c r="E59" s="216">
        <f t="shared" si="1"/>
        <v>9.8730354309082058E-2</v>
      </c>
      <c r="F59" s="198">
        <f>(SUMPRODUCT(DCF!$L$45:$S$45,(1+E59)^(-DCF!$L$46:$S$46))+Inputs!$C$56*IF(Inputs!$C$58=1,DCF!$S$23*(1+Drivers!$H$91)*DCF!$T$29*(1-Drivers!$H$94)*(1-Drivers!$H$91/Drivers!$H$93),DCF!$S$35*(1+Drivers!$H$91))/(E59-Drivers!$H$91)*(1+E59)^(-DCF!$S$46)+Inputs!$C$57*DCF!$S$25*Drivers!$H$95*(1+E59)^(-(Inputs!$C$23+DCF!$S$43-1))+SUM(DCF!$E$75:$E$79))/Inputs!$C$31</f>
        <v>121.99723723365828</v>
      </c>
      <c r="G59" s="198">
        <f>IF(SIGN(F58-Inputs!$C$27)=SIGN(G58-Inputs!$C$27),F58,G58)</f>
        <v>122.00450001644759</v>
      </c>
    </row>
    <row r="60" spans="2:7" hidden="1" outlineLevel="1" x14ac:dyDescent="0.35">
      <c r="B60" s="215">
        <v>17</v>
      </c>
      <c r="C60" s="214">
        <f>IF(SIGN(F59-Inputs!$C$27)=SIGN(G59-Inputs!$C$27),E59,C59)</f>
        <v>9.8726119995117212E-2</v>
      </c>
      <c r="D60" s="214">
        <f>IF(SIGN(F59-Inputs!$C$27)=SIGN(G59-Inputs!$C$27),D59,E59)</f>
        <v>9.8730354309082058E-2</v>
      </c>
      <c r="E60" s="216">
        <f t="shared" si="1"/>
        <v>9.8728237152099635E-2</v>
      </c>
      <c r="F60" s="198">
        <f>(SUMPRODUCT(DCF!$L$45:$S$45,(1+E60)^(-DCF!$L$46:$S$46))+Inputs!$C$56*IF(Inputs!$C$58=1,DCF!$S$23*(1+Drivers!$H$91)*DCF!$T$29*(1-Drivers!$H$94)*(1-Drivers!$H$91/Drivers!$H$93),DCF!$S$35*(1+Drivers!$H$91))/(E60-Drivers!$H$91)*(1+E60)^(-DCF!$S$46)+Inputs!$C$57*DCF!$S$25*Drivers!$H$95*(1+E60)^(-(Inputs!$C$23+DCF!$S$43-1))+SUM(DCF!$E$75:$E$79))/Inputs!$C$31</f>
        <v>122.00086852728262</v>
      </c>
      <c r="G60" s="198">
        <f>IF(SIGN(F59-Inputs!$C$27)=SIGN(G59-Inputs!$C$27),F59,G59)</f>
        <v>122.00450001644759</v>
      </c>
    </row>
    <row r="61" spans="2:7" hidden="1" outlineLevel="1" x14ac:dyDescent="0.35">
      <c r="B61" s="215">
        <v>18</v>
      </c>
      <c r="C61" s="214">
        <f>IF(SIGN(F60-Inputs!$C$27)=SIGN(G60-Inputs!$C$27),E60,C60)</f>
        <v>9.8728237152099635E-2</v>
      </c>
      <c r="D61" s="214">
        <f>IF(SIGN(F60-Inputs!$C$27)=SIGN(G60-Inputs!$C$27),D60,E60)</f>
        <v>9.8730354309082058E-2</v>
      </c>
      <c r="E61" s="216">
        <f t="shared" si="1"/>
        <v>9.8729295730590846E-2</v>
      </c>
      <c r="F61" s="198">
        <f>(SUMPRODUCT(DCF!$L$45:$S$45,(1+E61)^(-DCF!$L$46:$S$46))+Inputs!$C$56*IF(Inputs!$C$58=1,DCF!$S$23*(1+Drivers!$H$91)*DCF!$T$29*(1-Drivers!$H$94)*(1-Drivers!$H$91/Drivers!$H$93),DCF!$S$35*(1+Drivers!$H$91))/(E61-Drivers!$H$91)*(1+E61)^(-DCF!$S$46)+Inputs!$C$57*DCF!$S$25*Drivers!$H$95*(1+E61)^(-(Inputs!$C$23+DCF!$S$43-1))+SUM(DCF!$E$75:$E$79))/Inputs!$C$31</f>
        <v>121.99905285602895</v>
      </c>
      <c r="G61" s="198">
        <f>IF(SIGN(F60-Inputs!$C$27)=SIGN(G60-Inputs!$C$27),F60,G60)</f>
        <v>122.00086852728262</v>
      </c>
    </row>
    <row r="62" spans="2:7" hidden="1" outlineLevel="1" x14ac:dyDescent="0.35">
      <c r="B62" s="215">
        <v>19</v>
      </c>
      <c r="C62" s="214">
        <f>IF(SIGN(F61-Inputs!$C$27)=SIGN(G61-Inputs!$C$27),E61,C61)</f>
        <v>9.8728237152099635E-2</v>
      </c>
      <c r="D62" s="214">
        <f>IF(SIGN(F61-Inputs!$C$27)=SIGN(G61-Inputs!$C$27),D61,E61)</f>
        <v>9.8729295730590846E-2</v>
      </c>
      <c r="E62" s="216">
        <f t="shared" si="1"/>
        <v>9.8728766441345234E-2</v>
      </c>
      <c r="F62" s="198">
        <f>(SUMPRODUCT(DCF!$L$45:$S$45,(1+E62)^(-DCF!$L$46:$S$46))+Inputs!$C$56*IF(Inputs!$C$58=1,DCF!$S$23*(1+Drivers!$H$91)*DCF!$T$29*(1-Drivers!$H$94)*(1-Drivers!$H$91/Drivers!$H$93),DCF!$S$35*(1+Drivers!$H$91))/(E62-Drivers!$H$91)*(1+E62)^(-DCF!$S$46)+Inputs!$C$57*DCF!$S$25*Drivers!$H$95*(1+E62)^(-(Inputs!$C$23+DCF!$S$43-1))+SUM(DCF!$E$75:$E$79))/Inputs!$C$31</f>
        <v>121.99996068554526</v>
      </c>
      <c r="G62" s="198">
        <f>IF(SIGN(F61-Inputs!$C$27)=SIGN(G61-Inputs!$C$27),F61,G61)</f>
        <v>122.00086852728262</v>
      </c>
    </row>
    <row r="63" spans="2:7" hidden="1" outlineLevel="1" x14ac:dyDescent="0.35">
      <c r="B63" s="215">
        <v>20</v>
      </c>
      <c r="C63" s="214">
        <f>IF(SIGN(F62-Inputs!$C$27)=SIGN(G62-Inputs!$C$27),E62,C62)</f>
        <v>9.8728237152099635E-2</v>
      </c>
      <c r="D63" s="214">
        <f>IF(SIGN(F62-Inputs!$C$27)=SIGN(G62-Inputs!$C$27),D62,E62)</f>
        <v>9.8728766441345234E-2</v>
      </c>
      <c r="E63" s="216">
        <f t="shared" si="1"/>
        <v>9.8728501796722434E-2</v>
      </c>
      <c r="F63" s="198">
        <f>(SUMPRODUCT(DCF!$L$45:$S$45,(1+E63)^(-DCF!$L$46:$S$46))+Inputs!$C$56*IF(Inputs!$C$58=1,DCF!$S$23*(1+Drivers!$H$91)*DCF!$T$29*(1-Drivers!$H$94)*(1-Drivers!$H$91/Drivers!$H$93),DCF!$S$35*(1+Drivers!$H$91))/(E63-Drivers!$H$91)*(1+E63)^(-DCF!$S$46)+Inputs!$C$57*DCF!$S$25*Drivers!$H$95*(1+E63)^(-(Inputs!$C$23+DCF!$S$43-1))+SUM(DCF!$E$75:$E$79))/Inputs!$C$31</f>
        <v>122.00041460488634</v>
      </c>
      <c r="G63" s="198">
        <f>IF(SIGN(F62-Inputs!$C$27)=SIGN(G62-Inputs!$C$27),F62,G62)</f>
        <v>122.00086852728262</v>
      </c>
    </row>
    <row r="64" spans="2:7" hidden="1" outlineLevel="1" x14ac:dyDescent="0.35">
      <c r="B64" s="215">
        <v>21</v>
      </c>
      <c r="C64" s="214">
        <f>IF(SIGN(F63-Inputs!$C$27)=SIGN(G63-Inputs!$C$27),E63,C63)</f>
        <v>9.8728501796722434E-2</v>
      </c>
      <c r="D64" s="214">
        <f>IF(SIGN(F63-Inputs!$C$27)=SIGN(G63-Inputs!$C$27),D63,E63)</f>
        <v>9.8728766441345234E-2</v>
      </c>
      <c r="E64" s="216">
        <f t="shared" si="1"/>
        <v>9.8728634119033834E-2</v>
      </c>
      <c r="F64" s="198">
        <f>(SUMPRODUCT(DCF!$L$45:$S$45,(1+E64)^(-DCF!$L$46:$S$46))+Inputs!$C$56*IF(Inputs!$C$58=1,DCF!$S$23*(1+Drivers!$H$91)*DCF!$T$29*(1-Drivers!$H$94)*(1-Drivers!$H$91/Drivers!$H$93),DCF!$S$35*(1+Drivers!$H$91))/(E64-Drivers!$H$91)*(1+E64)^(-DCF!$S$46)+Inputs!$C$57*DCF!$S$25*Drivers!$H$95*(1+E64)^(-(Inputs!$C$23+DCF!$S$43-1))+SUM(DCF!$E$75:$E$79))/Inputs!$C$31</f>
        <v>122.0001876448338</v>
      </c>
      <c r="G64" s="198">
        <f>IF(SIGN(F63-Inputs!$C$27)=SIGN(G63-Inputs!$C$27),F63,G63)</f>
        <v>122.00041460488634</v>
      </c>
    </row>
    <row r="65" spans="2:7" hidden="1" outlineLevel="1" x14ac:dyDescent="0.35">
      <c r="B65" s="215">
        <v>22</v>
      </c>
      <c r="C65" s="214">
        <f>IF(SIGN(F64-Inputs!$C$27)=SIGN(G64-Inputs!$C$27),E64,C64)</f>
        <v>9.8728634119033834E-2</v>
      </c>
      <c r="D65" s="214">
        <f>IF(SIGN(F64-Inputs!$C$27)=SIGN(G64-Inputs!$C$27),D64,E64)</f>
        <v>9.8728766441345234E-2</v>
      </c>
      <c r="E65" s="216">
        <f t="shared" si="1"/>
        <v>9.8728700280189541E-2</v>
      </c>
      <c r="F65" s="198">
        <f>(SUMPRODUCT(DCF!$L$45:$S$45,(1+E65)^(-DCF!$L$46:$S$46))+Inputs!$C$56*IF(Inputs!$C$58=1,DCF!$S$23*(1+Drivers!$H$91)*DCF!$T$29*(1-Drivers!$H$94)*(1-Drivers!$H$91/Drivers!$H$93),DCF!$S$35*(1+Drivers!$H$91))/(E65-Drivers!$H$91)*(1+E65)^(-DCF!$S$46)+Inputs!$C$57*DCF!$S$25*Drivers!$H$95*(1+E65)^(-(Inputs!$C$23+DCF!$S$43-1))+SUM(DCF!$E$75:$E$79))/Inputs!$C$31</f>
        <v>122.00007416509403</v>
      </c>
      <c r="G65" s="198">
        <f>IF(SIGN(F64-Inputs!$C$27)=SIGN(G64-Inputs!$C$27),F64,G64)</f>
        <v>122.0001876448338</v>
      </c>
    </row>
    <row r="66" spans="2:7" hidden="1" outlineLevel="1" x14ac:dyDescent="0.35">
      <c r="B66" s="215">
        <v>23</v>
      </c>
      <c r="C66" s="214">
        <f>IF(SIGN(F65-Inputs!$C$27)=SIGN(G65-Inputs!$C$27),E65,C65)</f>
        <v>9.8728700280189541E-2</v>
      </c>
      <c r="D66" s="214">
        <f>IF(SIGN(F65-Inputs!$C$27)=SIGN(G65-Inputs!$C$27),D65,E65)</f>
        <v>9.8728766441345234E-2</v>
      </c>
      <c r="E66" s="216">
        <f t="shared" si="1"/>
        <v>9.8728733360767387E-2</v>
      </c>
      <c r="F66" s="198">
        <f>(SUMPRODUCT(DCF!$L$45:$S$45,(1+E66)^(-DCF!$L$46:$S$46))+Inputs!$C$56*IF(Inputs!$C$58=1,DCF!$S$23*(1+Drivers!$H$91)*DCF!$T$29*(1-Drivers!$H$94)*(1-Drivers!$H$91/Drivers!$H$93),DCF!$S$35*(1+Drivers!$H$91))/(E66-Drivers!$H$91)*(1+E66)^(-DCF!$S$46)+Inputs!$C$57*DCF!$S$25*Drivers!$H$95*(1+E66)^(-(Inputs!$C$23+DCF!$S$43-1))+SUM(DCF!$E$75:$E$79))/Inputs!$C$31</f>
        <v>122.00001742529578</v>
      </c>
      <c r="G66" s="198">
        <f>IF(SIGN(F65-Inputs!$C$27)=SIGN(G65-Inputs!$C$27),F65,G65)</f>
        <v>122.00007416509403</v>
      </c>
    </row>
    <row r="67" spans="2:7" hidden="1" outlineLevel="1" x14ac:dyDescent="0.35">
      <c r="B67" s="215">
        <v>24</v>
      </c>
      <c r="C67" s="214">
        <f>IF(SIGN(F66-Inputs!$C$27)=SIGN(G66-Inputs!$C$27),E66,C66)</f>
        <v>9.8728733360767387E-2</v>
      </c>
      <c r="D67" s="214">
        <f>IF(SIGN(F66-Inputs!$C$27)=SIGN(G66-Inputs!$C$27),D66,E66)</f>
        <v>9.8728766441345234E-2</v>
      </c>
      <c r="E67" s="216">
        <f t="shared" si="1"/>
        <v>9.8728749901056317E-2</v>
      </c>
      <c r="F67" s="198">
        <f>(SUMPRODUCT(DCF!$L$45:$S$45,(1+E67)^(-DCF!$L$46:$S$46))+Inputs!$C$56*IF(Inputs!$C$58=1,DCF!$S$23*(1+Drivers!$H$91)*DCF!$T$29*(1-Drivers!$H$94)*(1-Drivers!$H$91/Drivers!$H$93),DCF!$S$35*(1+Drivers!$H$91))/(E67-Drivers!$H$91)*(1+E67)^(-DCF!$S$46)+Inputs!$C$57*DCF!$S$25*Drivers!$H$95*(1+E67)^(-(Inputs!$C$23+DCF!$S$43-1))+SUM(DCF!$E$75:$E$79))/Inputs!$C$31</f>
        <v>121.99998905541452</v>
      </c>
      <c r="G67" s="198">
        <f>IF(SIGN(F66-Inputs!$C$27)=SIGN(G66-Inputs!$C$27),F66,G66)</f>
        <v>122.00001742529578</v>
      </c>
    </row>
    <row r="68" spans="2:7" hidden="1" outlineLevel="1" x14ac:dyDescent="0.35">
      <c r="B68" s="215">
        <v>25</v>
      </c>
      <c r="C68" s="214">
        <f>IF(SIGN(F67-Inputs!$C$27)=SIGN(G67-Inputs!$C$27),E67,C67)</f>
        <v>9.8728733360767387E-2</v>
      </c>
      <c r="D68" s="214">
        <f>IF(SIGN(F67-Inputs!$C$27)=SIGN(G67-Inputs!$C$27),D67,E67)</f>
        <v>9.8728749901056317E-2</v>
      </c>
      <c r="E68" s="216">
        <f t="shared" si="1"/>
        <v>9.8728741630911859E-2</v>
      </c>
      <c r="F68" s="198">
        <f>(SUMPRODUCT(DCF!$L$45:$S$45,(1+E68)^(-DCF!$L$46:$S$46))+Inputs!$C$56*IF(Inputs!$C$58=1,DCF!$S$23*(1+Drivers!$H$91)*DCF!$T$29*(1-Drivers!$H$94)*(1-Drivers!$H$91/Drivers!$H$93),DCF!$S$35*(1+Drivers!$H$91))/(E68-Drivers!$H$91)*(1+E68)^(-DCF!$S$46)+Inputs!$C$57*DCF!$S$25*Drivers!$H$95*(1+E68)^(-(Inputs!$C$23+DCF!$S$43-1))+SUM(DCF!$E$75:$E$79))/Inputs!$C$31</f>
        <v>122.00000324035358</v>
      </c>
      <c r="G68" s="198">
        <f>IF(SIGN(F67-Inputs!$C$27)=SIGN(G67-Inputs!$C$27),F67,G67)</f>
        <v>122.00001742529578</v>
      </c>
    </row>
    <row r="69" spans="2:7" hidden="1" outlineLevel="1" x14ac:dyDescent="0.35">
      <c r="B69" s="215">
        <v>26</v>
      </c>
      <c r="C69" s="214">
        <f>IF(SIGN(F68-Inputs!$C$27)=SIGN(G68-Inputs!$C$27),E68,C68)</f>
        <v>9.8728741630911859E-2</v>
      </c>
      <c r="D69" s="214">
        <f>IF(SIGN(F68-Inputs!$C$27)=SIGN(G68-Inputs!$C$27),D68,E68)</f>
        <v>9.8728749901056317E-2</v>
      </c>
      <c r="E69" s="216">
        <f t="shared" si="1"/>
        <v>9.8728745765984088E-2</v>
      </c>
      <c r="F69" s="198">
        <f>(SUMPRODUCT(DCF!$L$45:$S$45,(1+E69)^(-DCF!$L$46:$S$46))+Inputs!$C$56*IF(Inputs!$C$58=1,DCF!$S$23*(1+Drivers!$H$91)*DCF!$T$29*(1-Drivers!$H$94)*(1-Drivers!$H$91/Drivers!$H$93),DCF!$S$35*(1+Drivers!$H$91))/(E69-Drivers!$H$91)*(1+E69)^(-DCF!$S$46)+Inputs!$C$57*DCF!$S$25*Drivers!$H$95*(1+E69)^(-(Inputs!$C$23+DCF!$S$43-1))+SUM(DCF!$E$75:$E$79))/Inputs!$C$31</f>
        <v>121.99999614788378</v>
      </c>
      <c r="G69" s="198">
        <f>IF(SIGN(F68-Inputs!$C$27)=SIGN(G68-Inputs!$C$27),F68,G68)</f>
        <v>122.00000324035358</v>
      </c>
    </row>
    <row r="70" spans="2:7" hidden="1" outlineLevel="1" x14ac:dyDescent="0.35">
      <c r="B70" s="215">
        <v>27</v>
      </c>
      <c r="C70" s="214">
        <f>IF(SIGN(F69-Inputs!$C$27)=SIGN(G69-Inputs!$C$27),E69,C69)</f>
        <v>9.8728741630911859E-2</v>
      </c>
      <c r="D70" s="214">
        <f>IF(SIGN(F69-Inputs!$C$27)=SIGN(G69-Inputs!$C$27),D69,E69)</f>
        <v>9.8728745765984088E-2</v>
      </c>
      <c r="E70" s="216">
        <f t="shared" si="1"/>
        <v>9.8728743698447974E-2</v>
      </c>
      <c r="F70" s="198">
        <f>(SUMPRODUCT(DCF!$L$45:$S$45,(1+E70)^(-DCF!$L$46:$S$46))+Inputs!$C$56*IF(Inputs!$C$58=1,DCF!$S$23*(1+Drivers!$H$91)*DCF!$T$29*(1-Drivers!$H$94)*(1-Drivers!$H$91/Drivers!$H$93),DCF!$S$35*(1+Drivers!$H$91))/(E70-Drivers!$H$91)*(1+E70)^(-DCF!$S$46)+Inputs!$C$57*DCF!$S$25*Drivers!$H$95*(1+E70)^(-(Inputs!$C$23+DCF!$S$43-1))+SUM(DCF!$E$75:$E$79))/Inputs!$C$31</f>
        <v>121.9999996941185</v>
      </c>
      <c r="G70" s="198">
        <f>IF(SIGN(F69-Inputs!$C$27)=SIGN(G69-Inputs!$C$27),F69,G69)</f>
        <v>122.00000324035358</v>
      </c>
    </row>
    <row r="71" spans="2:7" hidden="1" outlineLevel="1" x14ac:dyDescent="0.35">
      <c r="B71" s="215">
        <v>28</v>
      </c>
      <c r="C71" s="214">
        <f>IF(SIGN(F70-Inputs!$C$27)=SIGN(G70-Inputs!$C$27),E70,C70)</f>
        <v>9.8728741630911859E-2</v>
      </c>
      <c r="D71" s="214">
        <f>IF(SIGN(F70-Inputs!$C$27)=SIGN(G70-Inputs!$C$27),D70,E70)</f>
        <v>9.8728743698447974E-2</v>
      </c>
      <c r="E71" s="216">
        <f t="shared" si="1"/>
        <v>9.8728742664679917E-2</v>
      </c>
      <c r="F71" s="198">
        <f>(SUMPRODUCT(DCF!$L$45:$S$45,(1+E71)^(-DCF!$L$46:$S$46))+Inputs!$C$56*IF(Inputs!$C$58=1,DCF!$S$23*(1+Drivers!$H$91)*DCF!$T$29*(1-Drivers!$H$94)*(1-Drivers!$H$91/Drivers!$H$93),DCF!$S$35*(1+Drivers!$H$91))/(E71-Drivers!$H$91)*(1+E71)^(-DCF!$S$46)+Inputs!$C$57*DCF!$S$25*Drivers!$H$95*(1+E71)^(-(Inputs!$C$23+DCF!$S$43-1))+SUM(DCF!$E$75:$E$79))/Inputs!$C$31</f>
        <v>122.0000014672361</v>
      </c>
      <c r="G71" s="198">
        <f>IF(SIGN(F70-Inputs!$C$27)=SIGN(G70-Inputs!$C$27),F70,G70)</f>
        <v>122.00000324035358</v>
      </c>
    </row>
    <row r="72" spans="2:7" hidden="1" outlineLevel="1" x14ac:dyDescent="0.35">
      <c r="B72" s="215">
        <v>29</v>
      </c>
      <c r="C72" s="214">
        <f>IF(SIGN(F71-Inputs!$C$27)=SIGN(G71-Inputs!$C$27),E71,C71)</f>
        <v>9.8728742664679917E-2</v>
      </c>
      <c r="D72" s="214">
        <f>IF(SIGN(F71-Inputs!$C$27)=SIGN(G71-Inputs!$C$27),D71,E71)</f>
        <v>9.8728743698447974E-2</v>
      </c>
      <c r="E72" s="216">
        <f t="shared" si="1"/>
        <v>9.8728743181563938E-2</v>
      </c>
      <c r="F72" s="198">
        <f>(SUMPRODUCT(DCF!$L$45:$S$45,(1+E72)^(-DCF!$L$46:$S$46))+Inputs!$C$56*IF(Inputs!$C$58=1,DCF!$S$23*(1+Drivers!$H$91)*DCF!$T$29*(1-Drivers!$H$94)*(1-Drivers!$H$91/Drivers!$H$93),DCF!$S$35*(1+Drivers!$H$91))/(E72-Drivers!$H$91)*(1+E72)^(-DCF!$S$46)+Inputs!$C$57*DCF!$S$25*Drivers!$H$95*(1+E72)^(-(Inputs!$C$23+DCF!$S$43-1))+SUM(DCF!$E$75:$E$79))/Inputs!$C$31</f>
        <v>122.00000058067732</v>
      </c>
      <c r="G72" s="198">
        <f>IF(SIGN(F71-Inputs!$C$27)=SIGN(G71-Inputs!$C$27),F71,G71)</f>
        <v>122.0000014672361</v>
      </c>
    </row>
    <row r="73" spans="2:7" hidden="1" outlineLevel="1" x14ac:dyDescent="0.35">
      <c r="B73" s="215">
        <v>30</v>
      </c>
      <c r="C73" s="214">
        <f>IF(SIGN(F72-Inputs!$C$27)=SIGN(G72-Inputs!$C$27),E72,C72)</f>
        <v>9.8728743181563938E-2</v>
      </c>
      <c r="D73" s="214">
        <f>IF(SIGN(F72-Inputs!$C$27)=SIGN(G72-Inputs!$C$27),D72,E72)</f>
        <v>9.8728743698447974E-2</v>
      </c>
      <c r="E73" s="216">
        <f t="shared" si="1"/>
        <v>9.8728743440005956E-2</v>
      </c>
      <c r="F73" s="198">
        <f>(SUMPRODUCT(DCF!$L$45:$S$45,(1+E73)^(-DCF!$L$46:$S$46))+Inputs!$C$56*IF(Inputs!$C$58=1,DCF!$S$23*(1+Drivers!$H$91)*DCF!$T$29*(1-Drivers!$H$94)*(1-Drivers!$H$91/Drivers!$H$93),DCF!$S$35*(1+Drivers!$H$91))/(E73-Drivers!$H$91)*(1+E73)^(-DCF!$S$46)+Inputs!$C$57*DCF!$S$25*Drivers!$H$95*(1+E73)^(-(Inputs!$C$23+DCF!$S$43-1))+SUM(DCF!$E$75:$E$79))/Inputs!$C$31</f>
        <v>122.000000137398</v>
      </c>
      <c r="G73" s="198">
        <f>IF(SIGN(F72-Inputs!$C$27)=SIGN(G72-Inputs!$C$27),F72,G72)</f>
        <v>122.00000058067732</v>
      </c>
    </row>
    <row r="74" spans="2:7" hidden="1" outlineLevel="1" x14ac:dyDescent="0.35">
      <c r="B74" s="215">
        <v>31</v>
      </c>
      <c r="C74" s="214">
        <f>IF(SIGN(F73-Inputs!$C$27)=SIGN(G73-Inputs!$C$27),E73,C73)</f>
        <v>9.8728743440005956E-2</v>
      </c>
      <c r="D74" s="214">
        <f>IF(SIGN(F73-Inputs!$C$27)=SIGN(G73-Inputs!$C$27),D73,E73)</f>
        <v>9.8728743698447974E-2</v>
      </c>
      <c r="E74" s="216">
        <f t="shared" si="1"/>
        <v>9.8728743569226965E-2</v>
      </c>
      <c r="F74" s="198">
        <f>(SUMPRODUCT(DCF!$L$45:$S$45,(1+E74)^(-DCF!$L$46:$S$46))+Inputs!$C$56*IF(Inputs!$C$58=1,DCF!$S$23*(1+Drivers!$H$91)*DCF!$T$29*(1-Drivers!$H$94)*(1-Drivers!$H$91/Drivers!$H$93),DCF!$S$35*(1+Drivers!$H$91))/(E74-Drivers!$H$91)*(1+E74)^(-DCF!$S$46)+Inputs!$C$57*DCF!$S$25*Drivers!$H$95*(1+E74)^(-(Inputs!$C$23+DCF!$S$43-1))+SUM(DCF!$E$75:$E$79))/Inputs!$C$31</f>
        <v>121.99999991575824</v>
      </c>
      <c r="G74" s="198">
        <f>IF(SIGN(F73-Inputs!$C$27)=SIGN(G73-Inputs!$C$27),F73,G73)</f>
        <v>122.000000137398</v>
      </c>
    </row>
    <row r="75" spans="2:7" hidden="1" outlineLevel="1" x14ac:dyDescent="0.35">
      <c r="B75" s="215">
        <v>32</v>
      </c>
      <c r="C75" s="214">
        <f>IF(SIGN(F74-Inputs!$C$27)=SIGN(G74-Inputs!$C$27),E74,C74)</f>
        <v>9.8728743440005956E-2</v>
      </c>
      <c r="D75" s="214">
        <f>IF(SIGN(F74-Inputs!$C$27)=SIGN(G74-Inputs!$C$27),D74,E74)</f>
        <v>9.8728743569226965E-2</v>
      </c>
      <c r="E75" s="216">
        <f t="shared" si="1"/>
        <v>9.8728743504616467E-2</v>
      </c>
      <c r="F75" s="198">
        <f>(SUMPRODUCT(DCF!$L$45:$S$45,(1+E75)^(-DCF!$L$46:$S$46))+Inputs!$C$56*IF(Inputs!$C$58=1,DCF!$S$23*(1+Drivers!$H$91)*DCF!$T$29*(1-Drivers!$H$94)*(1-Drivers!$H$91/Drivers!$H$93),DCF!$S$35*(1+Drivers!$H$91))/(E75-Drivers!$H$91)*(1+E75)^(-DCF!$S$46)+Inputs!$C$57*DCF!$S$25*Drivers!$H$95*(1+E75)^(-(Inputs!$C$23+DCF!$S$43-1))+SUM(DCF!$E$75:$E$79))/Inputs!$C$31</f>
        <v>122.00000002657814</v>
      </c>
      <c r="G75" s="198">
        <f>IF(SIGN(F74-Inputs!$C$27)=SIGN(G74-Inputs!$C$27),F74,G74)</f>
        <v>122.000000137398</v>
      </c>
    </row>
    <row r="76" spans="2:7" hidden="1" outlineLevel="1" x14ac:dyDescent="0.35">
      <c r="B76" s="215">
        <v>33</v>
      </c>
      <c r="C76" s="214">
        <f>IF(SIGN(F75-Inputs!$C$27)=SIGN(G75-Inputs!$C$27),E75,C75)</f>
        <v>9.8728743504616467E-2</v>
      </c>
      <c r="D76" s="214">
        <f>IF(SIGN(F75-Inputs!$C$27)=SIGN(G75-Inputs!$C$27),D75,E75)</f>
        <v>9.8728743569226965E-2</v>
      </c>
      <c r="E76" s="216">
        <f t="shared" si="1"/>
        <v>9.8728743536921709E-2</v>
      </c>
      <c r="F76" s="198">
        <f>(SUMPRODUCT(DCF!$L$45:$S$45,(1+E76)^(-DCF!$L$46:$S$46))+Inputs!$C$56*IF(Inputs!$C$58=1,DCF!$S$23*(1+Drivers!$H$91)*DCF!$T$29*(1-Drivers!$H$94)*(1-Drivers!$H$91/Drivers!$H$93),DCF!$S$35*(1+Drivers!$H$91))/(E76-Drivers!$H$91)*(1+E76)^(-DCF!$S$46)+Inputs!$C$57*DCF!$S$25*Drivers!$H$95*(1+E76)^(-(Inputs!$C$23+DCF!$S$43-1))+SUM(DCF!$E$75:$E$79))/Inputs!$C$31</f>
        <v>121.99999997116818</v>
      </c>
      <c r="G76" s="198">
        <f>IF(SIGN(F75-Inputs!$C$27)=SIGN(G75-Inputs!$C$27),F75,G75)</f>
        <v>122.00000002657814</v>
      </c>
    </row>
    <row r="77" spans="2:7" hidden="1" outlineLevel="1" x14ac:dyDescent="0.35">
      <c r="B77" s="215">
        <v>34</v>
      </c>
      <c r="C77" s="214">
        <f>IF(SIGN(F76-Inputs!$C$27)=SIGN(G76-Inputs!$C$27),E76,C76)</f>
        <v>9.8728743504616467E-2</v>
      </c>
      <c r="D77" s="214">
        <f>IF(SIGN(F76-Inputs!$C$27)=SIGN(G76-Inputs!$C$27),D76,E76)</f>
        <v>9.8728743536921709E-2</v>
      </c>
      <c r="E77" s="216">
        <f t="shared" si="1"/>
        <v>9.8728743520769088E-2</v>
      </c>
      <c r="F77" s="198">
        <f>(SUMPRODUCT(DCF!$L$45:$S$45,(1+E77)^(-DCF!$L$46:$S$46))+Inputs!$C$56*IF(Inputs!$C$58=1,DCF!$S$23*(1+Drivers!$H$91)*DCF!$T$29*(1-Drivers!$H$94)*(1-Drivers!$H$91/Drivers!$H$93),DCF!$S$35*(1+Drivers!$H$91))/(E77-Drivers!$H$91)*(1+E77)^(-DCF!$S$46)+Inputs!$C$57*DCF!$S$25*Drivers!$H$95*(1+E77)^(-(Inputs!$C$23+DCF!$S$43-1))+SUM(DCF!$E$75:$E$79))/Inputs!$C$31</f>
        <v>121.99999999887314</v>
      </c>
      <c r="G77" s="198">
        <f>IF(SIGN(F76-Inputs!$C$27)=SIGN(G76-Inputs!$C$27),F76,G76)</f>
        <v>122.00000002657814</v>
      </c>
    </row>
    <row r="78" spans="2:7" hidden="1" outlineLevel="1" x14ac:dyDescent="0.35">
      <c r="B78" s="215">
        <v>35</v>
      </c>
      <c r="C78" s="214">
        <f>IF(SIGN(F77-Inputs!$C$27)=SIGN(G77-Inputs!$C$27),E77,C77)</f>
        <v>9.8728743504616467E-2</v>
      </c>
      <c r="D78" s="214">
        <f>IF(SIGN(F77-Inputs!$C$27)=SIGN(G77-Inputs!$C$27),D77,E77)</f>
        <v>9.8728743520769088E-2</v>
      </c>
      <c r="E78" s="216">
        <f t="shared" si="1"/>
        <v>9.8728743512692785E-2</v>
      </c>
      <c r="F78" s="198">
        <f>(SUMPRODUCT(DCF!$L$45:$S$45,(1+E78)^(-DCF!$L$46:$S$46))+Inputs!$C$56*IF(Inputs!$C$58=1,DCF!$S$23*(1+Drivers!$H$91)*DCF!$T$29*(1-Drivers!$H$94)*(1-Drivers!$H$91/Drivers!$H$93),DCF!$S$35*(1+Drivers!$H$91))/(E78-Drivers!$H$91)*(1+E78)^(-DCF!$S$46)+Inputs!$C$57*DCF!$S$25*Drivers!$H$95*(1+E78)^(-(Inputs!$C$23+DCF!$S$43-1))+SUM(DCF!$E$75:$E$79))/Inputs!$C$31</f>
        <v>122.00000001272568</v>
      </c>
      <c r="G78" s="198">
        <f>IF(SIGN(F77-Inputs!$C$27)=SIGN(G77-Inputs!$C$27),F77,G77)</f>
        <v>122.00000002657814</v>
      </c>
    </row>
    <row r="79" spans="2:7" hidden="1" outlineLevel="1" x14ac:dyDescent="0.35">
      <c r="B79" s="215">
        <v>36</v>
      </c>
      <c r="C79" s="214">
        <f>IF(SIGN(F78-Inputs!$C$27)=SIGN(G78-Inputs!$C$27),E78,C78)</f>
        <v>9.8728743512692785E-2</v>
      </c>
      <c r="D79" s="214">
        <f>IF(SIGN(F78-Inputs!$C$27)=SIGN(G78-Inputs!$C$27),D78,E78)</f>
        <v>9.8728743520769088E-2</v>
      </c>
      <c r="E79" s="216">
        <f t="shared" si="1"/>
        <v>9.8728743516730944E-2</v>
      </c>
      <c r="F79" s="198">
        <f>(SUMPRODUCT(DCF!$L$45:$S$45,(1+E79)^(-DCF!$L$46:$S$46))+Inputs!$C$56*IF(Inputs!$C$58=1,DCF!$S$23*(1+Drivers!$H$91)*DCF!$T$29*(1-Drivers!$H$94)*(1-Drivers!$H$91/Drivers!$H$93),DCF!$S$35*(1+Drivers!$H$91))/(E79-Drivers!$H$91)*(1+E79)^(-DCF!$S$46)+Inputs!$C$57*DCF!$S$25*Drivers!$H$95*(1+E79)^(-(Inputs!$C$23+DCF!$S$43-1))+SUM(DCF!$E$75:$E$79))/Inputs!$C$31</f>
        <v>122.00000000579932</v>
      </c>
      <c r="G79" s="198">
        <f>IF(SIGN(F78-Inputs!$C$27)=SIGN(G78-Inputs!$C$27),F78,G78)</f>
        <v>122.00000001272568</v>
      </c>
    </row>
    <row r="80" spans="2:7" hidden="1" outlineLevel="1" x14ac:dyDescent="0.35">
      <c r="B80" s="215">
        <v>37</v>
      </c>
      <c r="C80" s="214">
        <f>IF(SIGN(F79-Inputs!$C$27)=SIGN(G79-Inputs!$C$27),E79,C79)</f>
        <v>9.8728743516730944E-2</v>
      </c>
      <c r="D80" s="214">
        <f>IF(SIGN(F79-Inputs!$C$27)=SIGN(G79-Inputs!$C$27),D79,E79)</f>
        <v>9.8728743520769088E-2</v>
      </c>
      <c r="E80" s="216">
        <f t="shared" si="1"/>
        <v>9.8728743518750023E-2</v>
      </c>
      <c r="F80" s="198">
        <f>(SUMPRODUCT(DCF!$L$45:$S$45,(1+E80)^(-DCF!$L$46:$S$46))+Inputs!$C$56*IF(Inputs!$C$58=1,DCF!$S$23*(1+Drivers!$H$91)*DCF!$T$29*(1-Drivers!$H$94)*(1-Drivers!$H$91/Drivers!$H$93),DCF!$S$35*(1+Drivers!$H$91))/(E80-Drivers!$H$91)*(1+E80)^(-DCF!$S$46)+Inputs!$C$57*DCF!$S$25*Drivers!$H$95*(1+E80)^(-(Inputs!$C$23+DCF!$S$43-1))+SUM(DCF!$E$75:$E$79))/Inputs!$C$31</f>
        <v>122.00000000233622</v>
      </c>
      <c r="G80" s="198">
        <f>IF(SIGN(F79-Inputs!$C$27)=SIGN(G79-Inputs!$C$27),F79,G79)</f>
        <v>122.00000000579932</v>
      </c>
    </row>
    <row r="81" spans="2:7" hidden="1" outlineLevel="1" x14ac:dyDescent="0.35">
      <c r="B81" s="215">
        <v>38</v>
      </c>
      <c r="C81" s="214">
        <f>IF(SIGN(F80-Inputs!$C$27)=SIGN(G80-Inputs!$C$27),E80,C80)</f>
        <v>9.8728743518750023E-2</v>
      </c>
      <c r="D81" s="214">
        <f>IF(SIGN(F80-Inputs!$C$27)=SIGN(G80-Inputs!$C$27),D80,E80)</f>
        <v>9.8728743520769088E-2</v>
      </c>
      <c r="E81" s="216">
        <f t="shared" si="1"/>
        <v>9.8728743519759549E-2</v>
      </c>
      <c r="F81" s="198">
        <f>(SUMPRODUCT(DCF!$L$45:$S$45,(1+E81)^(-DCF!$L$46:$S$46))+Inputs!$C$56*IF(Inputs!$C$58=1,DCF!$S$23*(1+Drivers!$H$91)*DCF!$T$29*(1-Drivers!$H$94)*(1-Drivers!$H$91/Drivers!$H$93),DCF!$S$35*(1+Drivers!$H$91))/(E81-Drivers!$H$91)*(1+E81)^(-DCF!$S$46)+Inputs!$C$57*DCF!$S$25*Drivers!$H$95*(1+E81)^(-(Inputs!$C$23+DCF!$S$43-1))+SUM(DCF!$E$75:$E$79))/Inputs!$C$31</f>
        <v>122.00000000060477</v>
      </c>
      <c r="G81" s="198">
        <f>IF(SIGN(F80-Inputs!$C$27)=SIGN(G80-Inputs!$C$27),F80,G80)</f>
        <v>122.00000000233622</v>
      </c>
    </row>
    <row r="82" spans="2:7" hidden="1" outlineLevel="1" x14ac:dyDescent="0.35">
      <c r="B82" s="215">
        <v>39</v>
      </c>
      <c r="C82" s="214">
        <f>IF(SIGN(F81-Inputs!$C$27)=SIGN(G81-Inputs!$C$27),E81,C81)</f>
        <v>9.8728743519759549E-2</v>
      </c>
      <c r="D82" s="214">
        <f>IF(SIGN(F81-Inputs!$C$27)=SIGN(G81-Inputs!$C$27),D81,E81)</f>
        <v>9.8728743520769088E-2</v>
      </c>
      <c r="E82" s="216">
        <f t="shared" si="1"/>
        <v>9.8728743520264312E-2</v>
      </c>
      <c r="F82" s="198">
        <f>(SUMPRODUCT(DCF!$L$45:$S$45,(1+E82)^(-DCF!$L$46:$S$46))+Inputs!$C$56*IF(Inputs!$C$58=1,DCF!$S$23*(1+Drivers!$H$91)*DCF!$T$29*(1-Drivers!$H$94)*(1-Drivers!$H$91/Drivers!$H$93),DCF!$S$35*(1+Drivers!$H$91))/(E82-Drivers!$H$91)*(1+E82)^(-DCF!$S$46)+Inputs!$C$57*DCF!$S$25*Drivers!$H$95*(1+E82)^(-(Inputs!$C$23+DCF!$S$43-1))+SUM(DCF!$E$75:$E$79))/Inputs!$C$31</f>
        <v>121.9999999997389</v>
      </c>
      <c r="G82" s="198">
        <f>IF(SIGN(F81-Inputs!$C$27)=SIGN(G81-Inputs!$C$27),F81,G81)</f>
        <v>122.00000000060477</v>
      </c>
    </row>
    <row r="83" spans="2:7" hidden="1" outlineLevel="1" x14ac:dyDescent="0.35">
      <c r="B83" s="215">
        <v>40</v>
      </c>
      <c r="C83" s="214">
        <f>IF(SIGN(F82-Inputs!$C$27)=SIGN(G82-Inputs!$C$27),E82,C82)</f>
        <v>9.8728743519759549E-2</v>
      </c>
      <c r="D83" s="214">
        <f>IF(SIGN(F82-Inputs!$C$27)=SIGN(G82-Inputs!$C$27),D82,E82)</f>
        <v>9.8728743520264312E-2</v>
      </c>
      <c r="E83" s="216">
        <f t="shared" si="1"/>
        <v>9.872874352001193E-2</v>
      </c>
      <c r="F83" s="198">
        <f>(SUMPRODUCT(DCF!$L$45:$S$45,(1+E83)^(-DCF!$L$46:$S$46))+Inputs!$C$56*IF(Inputs!$C$58=1,DCF!$S$23*(1+Drivers!$H$91)*DCF!$T$29*(1-Drivers!$H$94)*(1-Drivers!$H$91/Drivers!$H$93),DCF!$S$35*(1+Drivers!$H$91))/(E83-Drivers!$H$91)*(1+E83)^(-DCF!$S$46)+Inputs!$C$57*DCF!$S$25*Drivers!$H$95*(1+E83)^(-(Inputs!$C$23+DCF!$S$43-1))+SUM(DCF!$E$75:$E$79))/Inputs!$C$31</f>
        <v>122.0000000001718</v>
      </c>
      <c r="G83" s="198">
        <f>IF(SIGN(F82-Inputs!$C$27)=SIGN(G82-Inputs!$C$27),F82,G82)</f>
        <v>122.00000000060477</v>
      </c>
    </row>
    <row r="84" spans="2:7" x14ac:dyDescent="0.35">
      <c r="B84" s="61" t="s">
        <v>898</v>
      </c>
      <c r="C84" s="217">
        <f>IF(C43=1,E83,"outside range")</f>
        <v>9.872874352001193E-2</v>
      </c>
      <c r="D84" s="63"/>
      <c r="E84" s="63"/>
      <c r="F84" s="63"/>
      <c r="G84" s="63"/>
    </row>
    <row r="86" spans="2:7" x14ac:dyDescent="0.35">
      <c r="B86" s="31" t="s">
        <v>899</v>
      </c>
      <c r="C86" s="31"/>
      <c r="D86" s="31"/>
      <c r="E86" s="31"/>
      <c r="F86" s="31"/>
      <c r="G86" s="31"/>
    </row>
    <row r="87" spans="2:7" x14ac:dyDescent="0.35">
      <c r="B87" s="18" t="s">
        <v>891</v>
      </c>
      <c r="C87" s="86" t="s">
        <v>804</v>
      </c>
      <c r="D87" s="86" t="s">
        <v>803</v>
      </c>
      <c r="E87" s="86" t="s">
        <v>892</v>
      </c>
      <c r="F87" s="86" t="s">
        <v>893</v>
      </c>
      <c r="G87" s="86" t="s">
        <v>894</v>
      </c>
    </row>
    <row r="88" spans="2:7" x14ac:dyDescent="0.35">
      <c r="B88" s="40" t="s">
        <v>900</v>
      </c>
      <c r="C88" s="127">
        <v>-0.05</v>
      </c>
      <c r="F88" s="198">
        <f>(SUMPRODUCT(DCF!$L$45:$S$45,(1+WACC!$C$34)^(-DCF!$L$46:$S$46))+Inputs!$C$56*IF(Inputs!$C$58=1,DCF!$S$23*(1+C88)*DCF!$T$29*(1-Drivers!$H$94)*(1-C88/Drivers!$H$93),DCF!$S$35*(1+C88))/(WACC!$C$34-C88)*(1+WACC!$C$34)^(-DCF!$S$46)+Inputs!$C$57*DCF!$S$25*Drivers!$H$95*(1+WACC!$C$34)^(-(Inputs!$C$23+DCF!$S$43-1))+SUM(DCF!$E$75:$E$79))/Inputs!$C$31</f>
        <v>118.81548984852971</v>
      </c>
    </row>
    <row r="89" spans="2:7" x14ac:dyDescent="0.35">
      <c r="B89" s="40" t="s">
        <v>901</v>
      </c>
      <c r="C89" s="214">
        <f>WACC!$C$34-0.0025</f>
        <v>8.7375829156050189E-2</v>
      </c>
      <c r="F89" s="198">
        <f>(SUMPRODUCT(DCF!$L$45:$S$45,(1+WACC!$C$34)^(-DCF!$L$46:$S$46))+Inputs!$C$56*IF(Inputs!$C$58=1,DCF!$S$23*(1+C89)*DCF!$T$29*(1-Drivers!$H$94)*(1-C89/Drivers!$H$93),DCF!$S$35*(1+C89))/(WACC!$C$34-C89)*(1+WACC!$C$34)^(-DCF!$S$46)+Inputs!$C$57*DCF!$S$25*Drivers!$H$95*(1+WACC!$C$34)^(-(Inputs!$C$23+DCF!$S$43-1))+SUM(DCF!$E$75:$E$79))/Inputs!$C$31</f>
        <v>985.80900036138644</v>
      </c>
    </row>
    <row r="90" spans="2:7" x14ac:dyDescent="0.35">
      <c r="B90" s="40" t="s">
        <v>897</v>
      </c>
      <c r="C90" s="212">
        <f>IF((F88-Inputs!$C$27)*(F89-Inputs!$C$27)&lt;=0,1,0)</f>
        <v>1</v>
      </c>
    </row>
    <row r="91" spans="2:7" hidden="1" outlineLevel="1" x14ac:dyDescent="0.35">
      <c r="B91" s="215">
        <v>1</v>
      </c>
      <c r="C91" s="214">
        <f>C88</f>
        <v>-0.05</v>
      </c>
      <c r="D91" s="214">
        <f>C89</f>
        <v>8.7375829156050189E-2</v>
      </c>
      <c r="E91" s="216">
        <f t="shared" ref="E91:E130" si="2">(C91+D91)/2</f>
        <v>1.8687914578025093E-2</v>
      </c>
      <c r="F91" s="198">
        <f>(SUMPRODUCT(DCF!$L$45:$S$45,(1+WACC!$C$34)^(-DCF!$L$46:$S$46))+Inputs!$C$56*IF(Inputs!$C$58=1,DCF!$S$23*(1+E91)*DCF!$T$29*(1-Drivers!$H$94)*(1-E91/Drivers!$H$93),DCF!$S$35*(1+E91))/(WACC!$C$34-E91)*(1+WACC!$C$34)^(-DCF!$S$46)+Inputs!$C$57*DCF!$S$25*Drivers!$H$95*(1+WACC!$C$34)^(-(Inputs!$C$23+DCF!$S$43-1))+SUM(DCF!$E$75:$E$79))/Inputs!$C$31</f>
        <v>138.44724571982826</v>
      </c>
      <c r="G91" s="198">
        <f>F88</f>
        <v>118.81548984852971</v>
      </c>
    </row>
    <row r="92" spans="2:7" hidden="1" outlineLevel="1" x14ac:dyDescent="0.35">
      <c r="B92" s="215">
        <v>2</v>
      </c>
      <c r="C92" s="214">
        <f>IF(SIGN(F91-Inputs!$C$27)=SIGN(G91-Inputs!$C$27),E91,C91)</f>
        <v>-0.05</v>
      </c>
      <c r="D92" s="214">
        <f>IF(SIGN(F91-Inputs!$C$27)=SIGN(G91-Inputs!$C$27),D91,E91)</f>
        <v>1.8687914578025093E-2</v>
      </c>
      <c r="E92" s="216">
        <f t="shared" si="2"/>
        <v>-1.5656042710987455E-2</v>
      </c>
      <c r="F92" s="198">
        <f>(SUMPRODUCT(DCF!$L$45:$S$45,(1+WACC!$C$34)^(-DCF!$L$46:$S$46))+Inputs!$C$56*IF(Inputs!$C$58=1,DCF!$S$23*(1+E92)*DCF!$T$29*(1-Drivers!$H$94)*(1-E92/Drivers!$H$93),DCF!$S$35*(1+E92))/(WACC!$C$34-E92)*(1+WACC!$C$34)^(-DCF!$S$46)+Inputs!$C$57*DCF!$S$25*Drivers!$H$95*(1+WACC!$C$34)^(-(Inputs!$C$23+DCF!$S$43-1))+SUM(DCF!$E$75:$E$79))/Inputs!$C$31</f>
        <v>126.18030139030691</v>
      </c>
      <c r="G92" s="198">
        <f>IF(SIGN(F91-Inputs!$C$27)=SIGN(G91-Inputs!$C$27),F91,G91)</f>
        <v>118.81548984852971</v>
      </c>
    </row>
    <row r="93" spans="2:7" hidden="1" outlineLevel="1" x14ac:dyDescent="0.35">
      <c r="B93" s="215">
        <v>3</v>
      </c>
      <c r="C93" s="214">
        <f>IF(SIGN(F92-Inputs!$C$27)=SIGN(G92-Inputs!$C$27),E92,C92)</f>
        <v>-0.05</v>
      </c>
      <c r="D93" s="214">
        <f>IF(SIGN(F92-Inputs!$C$27)=SIGN(G92-Inputs!$C$27),D92,E92)</f>
        <v>-1.5656042710987455E-2</v>
      </c>
      <c r="E93" s="216">
        <f t="shared" si="2"/>
        <v>-3.2828021355493731E-2</v>
      </c>
      <c r="F93" s="198">
        <f>(SUMPRODUCT(DCF!$L$45:$S$45,(1+WACC!$C$34)^(-DCF!$L$46:$S$46))+Inputs!$C$56*IF(Inputs!$C$58=1,DCF!$S$23*(1+E93)*DCF!$T$29*(1-Drivers!$H$94)*(1-E93/Drivers!$H$93),DCF!$S$35*(1+E93))/(WACC!$C$34-E93)*(1+WACC!$C$34)^(-DCF!$S$46)+Inputs!$C$57*DCF!$S$25*Drivers!$H$95*(1+WACC!$C$34)^(-(Inputs!$C$23+DCF!$S$43-1))+SUM(DCF!$E$75:$E$79))/Inputs!$C$31</f>
        <v>122.1423927066234</v>
      </c>
      <c r="G93" s="198">
        <f>IF(SIGN(F92-Inputs!$C$27)=SIGN(G92-Inputs!$C$27),F92,G92)</f>
        <v>118.81548984852971</v>
      </c>
    </row>
    <row r="94" spans="2:7" hidden="1" outlineLevel="1" x14ac:dyDescent="0.35">
      <c r="B94" s="215">
        <v>4</v>
      </c>
      <c r="C94" s="214">
        <f>IF(SIGN(F93-Inputs!$C$27)=SIGN(G93-Inputs!$C$27),E93,C93)</f>
        <v>-0.05</v>
      </c>
      <c r="D94" s="214">
        <f>IF(SIGN(F93-Inputs!$C$27)=SIGN(G93-Inputs!$C$27),D93,E93)</f>
        <v>-3.2828021355493731E-2</v>
      </c>
      <c r="E94" s="216">
        <f t="shared" si="2"/>
        <v>-4.1414010677746867E-2</v>
      </c>
      <c r="F94" s="198">
        <f>(SUMPRODUCT(DCF!$L$45:$S$45,(1+WACC!$C$34)^(-DCF!$L$46:$S$46))+Inputs!$C$56*IF(Inputs!$C$58=1,DCF!$S$23*(1+E94)*DCF!$T$29*(1-Drivers!$H$94)*(1-E94/Drivers!$H$93),DCF!$S$35*(1+E94))/(WACC!$C$34-E94)*(1+WACC!$C$34)^(-DCF!$S$46)+Inputs!$C$57*DCF!$S$25*Drivers!$H$95*(1+WACC!$C$34)^(-(Inputs!$C$23+DCF!$S$43-1))+SUM(DCF!$E$75:$E$79))/Inputs!$C$31</f>
        <v>120.40750222355507</v>
      </c>
      <c r="G94" s="198">
        <f>IF(SIGN(F93-Inputs!$C$27)=SIGN(G93-Inputs!$C$27),F93,G93)</f>
        <v>118.81548984852971</v>
      </c>
    </row>
    <row r="95" spans="2:7" hidden="1" outlineLevel="1" x14ac:dyDescent="0.35">
      <c r="B95" s="215">
        <v>5</v>
      </c>
      <c r="C95" s="214">
        <f>IF(SIGN(F94-Inputs!$C$27)=SIGN(G94-Inputs!$C$27),E94,C94)</f>
        <v>-4.1414010677746867E-2</v>
      </c>
      <c r="D95" s="214">
        <f>IF(SIGN(F94-Inputs!$C$27)=SIGN(G94-Inputs!$C$27),D94,E94)</f>
        <v>-3.2828021355493731E-2</v>
      </c>
      <c r="E95" s="216">
        <f t="shared" si="2"/>
        <v>-3.7121016016620295E-2</v>
      </c>
      <c r="F95" s="198">
        <f>(SUMPRODUCT(DCF!$L$45:$S$45,(1+WACC!$C$34)^(-DCF!$L$46:$S$46))+Inputs!$C$56*IF(Inputs!$C$58=1,DCF!$S$23*(1+E95)*DCF!$T$29*(1-Drivers!$H$94)*(1-E95/Drivers!$H$93),DCF!$S$35*(1+E95))/(WACC!$C$34-E95)*(1+WACC!$C$34)^(-DCF!$S$46)+Inputs!$C$57*DCF!$S$25*Drivers!$H$95*(1+WACC!$C$34)^(-(Inputs!$C$23+DCF!$S$43-1))+SUM(DCF!$E$75:$E$79))/Inputs!$C$31</f>
        <v>121.25527651007101</v>
      </c>
      <c r="G95" s="198">
        <f>IF(SIGN(F94-Inputs!$C$27)=SIGN(G94-Inputs!$C$27),F94,G94)</f>
        <v>120.40750222355507</v>
      </c>
    </row>
    <row r="96" spans="2:7" hidden="1" outlineLevel="1" x14ac:dyDescent="0.35">
      <c r="B96" s="215">
        <v>6</v>
      </c>
      <c r="C96" s="214">
        <f>IF(SIGN(F95-Inputs!$C$27)=SIGN(G95-Inputs!$C$27),E95,C95)</f>
        <v>-3.7121016016620295E-2</v>
      </c>
      <c r="D96" s="214">
        <f>IF(SIGN(F95-Inputs!$C$27)=SIGN(G95-Inputs!$C$27),D95,E95)</f>
        <v>-3.2828021355493731E-2</v>
      </c>
      <c r="E96" s="216">
        <f t="shared" si="2"/>
        <v>-3.4974518686057013E-2</v>
      </c>
      <c r="F96" s="198">
        <f>(SUMPRODUCT(DCF!$L$45:$S$45,(1+WACC!$C$34)^(-DCF!$L$46:$S$46))+Inputs!$C$56*IF(Inputs!$C$58=1,DCF!$S$23*(1+E96)*DCF!$T$29*(1-Drivers!$H$94)*(1-E96/Drivers!$H$93),DCF!$S$35*(1+E96))/(WACC!$C$34-E96)*(1+WACC!$C$34)^(-DCF!$S$46)+Inputs!$C$57*DCF!$S$25*Drivers!$H$95*(1+WACC!$C$34)^(-(Inputs!$C$23+DCF!$S$43-1))+SUM(DCF!$E$75:$E$79))/Inputs!$C$31</f>
        <v>121.69366322400916</v>
      </c>
      <c r="G96" s="198">
        <f>IF(SIGN(F95-Inputs!$C$27)=SIGN(G95-Inputs!$C$27),F95,G95)</f>
        <v>121.25527651007101</v>
      </c>
    </row>
    <row r="97" spans="2:7" hidden="1" outlineLevel="1" x14ac:dyDescent="0.35">
      <c r="B97" s="215">
        <v>7</v>
      </c>
      <c r="C97" s="214">
        <f>IF(SIGN(F96-Inputs!$C$27)=SIGN(G96-Inputs!$C$27),E96,C96)</f>
        <v>-3.4974518686057013E-2</v>
      </c>
      <c r="D97" s="214">
        <f>IF(SIGN(F96-Inputs!$C$27)=SIGN(G96-Inputs!$C$27),D96,E96)</f>
        <v>-3.2828021355493731E-2</v>
      </c>
      <c r="E97" s="216">
        <f t="shared" si="2"/>
        <v>-3.3901270020775372E-2</v>
      </c>
      <c r="F97" s="198">
        <f>(SUMPRODUCT(DCF!$L$45:$S$45,(1+WACC!$C$34)^(-DCF!$L$46:$S$46))+Inputs!$C$56*IF(Inputs!$C$58=1,DCF!$S$23*(1+E97)*DCF!$T$29*(1-Drivers!$H$94)*(1-E97/Drivers!$H$93),DCF!$S$35*(1+E97))/(WACC!$C$34-E97)*(1+WACC!$C$34)^(-DCF!$S$46)+Inputs!$C$57*DCF!$S$25*Drivers!$H$95*(1+WACC!$C$34)^(-(Inputs!$C$23+DCF!$S$43-1))+SUM(DCF!$E$75:$E$79))/Inputs!$C$31</f>
        <v>121.91670148913352</v>
      </c>
      <c r="G97" s="198">
        <f>IF(SIGN(F96-Inputs!$C$27)=SIGN(G96-Inputs!$C$27),F96,G96)</f>
        <v>121.69366322400916</v>
      </c>
    </row>
    <row r="98" spans="2:7" hidden="1" outlineLevel="1" x14ac:dyDescent="0.35">
      <c r="B98" s="215">
        <v>8</v>
      </c>
      <c r="C98" s="214">
        <f>IF(SIGN(F97-Inputs!$C$27)=SIGN(G97-Inputs!$C$27),E97,C97)</f>
        <v>-3.3901270020775372E-2</v>
      </c>
      <c r="D98" s="214">
        <f>IF(SIGN(F97-Inputs!$C$27)=SIGN(G97-Inputs!$C$27),D97,E97)</f>
        <v>-3.2828021355493731E-2</v>
      </c>
      <c r="E98" s="216">
        <f t="shared" si="2"/>
        <v>-3.3364645688134548E-2</v>
      </c>
      <c r="F98" s="198">
        <f>(SUMPRODUCT(DCF!$L$45:$S$45,(1+WACC!$C$34)^(-DCF!$L$46:$S$46))+Inputs!$C$56*IF(Inputs!$C$58=1,DCF!$S$23*(1+E98)*DCF!$T$29*(1-Drivers!$H$94)*(1-E98/Drivers!$H$93),DCF!$S$35*(1+E98))/(WACC!$C$34-E98)*(1+WACC!$C$34)^(-DCF!$S$46)+Inputs!$C$57*DCF!$S$25*Drivers!$H$95*(1+WACC!$C$34)^(-(Inputs!$C$23+DCF!$S$43-1))+SUM(DCF!$E$75:$E$79))/Inputs!$C$31</f>
        <v>122.02921114693982</v>
      </c>
      <c r="G98" s="198">
        <f>IF(SIGN(F97-Inputs!$C$27)=SIGN(G97-Inputs!$C$27),F97,G97)</f>
        <v>121.91670148913352</v>
      </c>
    </row>
    <row r="99" spans="2:7" hidden="1" outlineLevel="1" x14ac:dyDescent="0.35">
      <c r="B99" s="215">
        <v>9</v>
      </c>
      <c r="C99" s="214">
        <f>IF(SIGN(F98-Inputs!$C$27)=SIGN(G98-Inputs!$C$27),E98,C98)</f>
        <v>-3.3901270020775372E-2</v>
      </c>
      <c r="D99" s="214">
        <f>IF(SIGN(F98-Inputs!$C$27)=SIGN(G98-Inputs!$C$27),D98,E98)</f>
        <v>-3.3364645688134548E-2</v>
      </c>
      <c r="E99" s="216">
        <f t="shared" si="2"/>
        <v>-3.3632957854454956E-2</v>
      </c>
      <c r="F99" s="198">
        <f>(SUMPRODUCT(DCF!$L$45:$S$45,(1+WACC!$C$34)^(-DCF!$L$46:$S$46))+Inputs!$C$56*IF(Inputs!$C$58=1,DCF!$S$23*(1+E99)*DCF!$T$29*(1-Drivers!$H$94)*(1-E99/Drivers!$H$93),DCF!$S$35*(1+E99))/(WACC!$C$34-E99)*(1+WACC!$C$34)^(-DCF!$S$46)+Inputs!$C$57*DCF!$S$25*Drivers!$H$95*(1+WACC!$C$34)^(-(Inputs!$C$23+DCF!$S$43-1))+SUM(DCF!$E$75:$E$79))/Inputs!$C$31</f>
        <v>121.9728728776703</v>
      </c>
      <c r="G99" s="198">
        <f>IF(SIGN(F98-Inputs!$C$27)=SIGN(G98-Inputs!$C$27),F98,G98)</f>
        <v>121.91670148913352</v>
      </c>
    </row>
    <row r="100" spans="2:7" hidden="1" outlineLevel="1" x14ac:dyDescent="0.35">
      <c r="B100" s="215">
        <v>10</v>
      </c>
      <c r="C100" s="214">
        <f>IF(SIGN(F99-Inputs!$C$27)=SIGN(G99-Inputs!$C$27),E99,C99)</f>
        <v>-3.3632957854454956E-2</v>
      </c>
      <c r="D100" s="214">
        <f>IF(SIGN(F99-Inputs!$C$27)=SIGN(G99-Inputs!$C$27),D99,E99)</f>
        <v>-3.3364645688134548E-2</v>
      </c>
      <c r="E100" s="216">
        <f t="shared" si="2"/>
        <v>-3.3498801771294752E-2</v>
      </c>
      <c r="F100" s="198">
        <f>(SUMPRODUCT(DCF!$L$45:$S$45,(1+WACC!$C$34)^(-DCF!$L$46:$S$46))+Inputs!$C$56*IF(Inputs!$C$58=1,DCF!$S$23*(1+E100)*DCF!$T$29*(1-Drivers!$H$94)*(1-E100/Drivers!$H$93),DCF!$S$35*(1+E100))/(WACC!$C$34-E100)*(1+WACC!$C$34)^(-DCF!$S$46)+Inputs!$C$57*DCF!$S$25*Drivers!$H$95*(1+WACC!$C$34)^(-(Inputs!$C$23+DCF!$S$43-1))+SUM(DCF!$E$75:$E$79))/Inputs!$C$31</f>
        <v>122.00102108416441</v>
      </c>
      <c r="G100" s="198">
        <f>IF(SIGN(F99-Inputs!$C$27)=SIGN(G99-Inputs!$C$27),F99,G99)</f>
        <v>121.9728728776703</v>
      </c>
    </row>
    <row r="101" spans="2:7" hidden="1" outlineLevel="1" x14ac:dyDescent="0.35">
      <c r="B101" s="215">
        <v>11</v>
      </c>
      <c r="C101" s="214">
        <f>IF(SIGN(F100-Inputs!$C$27)=SIGN(G100-Inputs!$C$27),E100,C100)</f>
        <v>-3.3632957854454956E-2</v>
      </c>
      <c r="D101" s="214">
        <f>IF(SIGN(F100-Inputs!$C$27)=SIGN(G100-Inputs!$C$27),D100,E100)</f>
        <v>-3.3498801771294752E-2</v>
      </c>
      <c r="E101" s="216">
        <f t="shared" si="2"/>
        <v>-3.3565879812874858E-2</v>
      </c>
      <c r="F101" s="198">
        <f>(SUMPRODUCT(DCF!$L$45:$S$45,(1+WACC!$C$34)^(-DCF!$L$46:$S$46))+Inputs!$C$56*IF(Inputs!$C$58=1,DCF!$S$23*(1+E101)*DCF!$T$29*(1-Drivers!$H$94)*(1-E101/Drivers!$H$93),DCF!$S$35*(1+E101))/(WACC!$C$34-E101)*(1+WACC!$C$34)^(-DCF!$S$46)+Inputs!$C$57*DCF!$S$25*Drivers!$H$95*(1+WACC!$C$34)^(-(Inputs!$C$23+DCF!$S$43-1))+SUM(DCF!$E$75:$E$79))/Inputs!$C$31</f>
        <v>121.98694175741142</v>
      </c>
      <c r="G101" s="198">
        <f>IF(SIGN(F100-Inputs!$C$27)=SIGN(G100-Inputs!$C$27),F100,G100)</f>
        <v>121.9728728776703</v>
      </c>
    </row>
    <row r="102" spans="2:7" hidden="1" outlineLevel="1" x14ac:dyDescent="0.35">
      <c r="B102" s="215">
        <v>12</v>
      </c>
      <c r="C102" s="214">
        <f>IF(SIGN(F101-Inputs!$C$27)=SIGN(G101-Inputs!$C$27),E101,C101)</f>
        <v>-3.3565879812874858E-2</v>
      </c>
      <c r="D102" s="214">
        <f>IF(SIGN(F101-Inputs!$C$27)=SIGN(G101-Inputs!$C$27),D101,E101)</f>
        <v>-3.3498801771294752E-2</v>
      </c>
      <c r="E102" s="216">
        <f t="shared" si="2"/>
        <v>-3.3532340792084808E-2</v>
      </c>
      <c r="F102" s="198">
        <f>(SUMPRODUCT(DCF!$L$45:$S$45,(1+WACC!$C$34)^(-DCF!$L$46:$S$46))+Inputs!$C$56*IF(Inputs!$C$58=1,DCF!$S$23*(1+E102)*DCF!$T$29*(1-Drivers!$H$94)*(1-E102/Drivers!$H$93),DCF!$S$35*(1+E102))/(WACC!$C$34-E102)*(1+WACC!$C$34)^(-DCF!$S$46)+Inputs!$C$57*DCF!$S$25*Drivers!$H$95*(1+WACC!$C$34)^(-(Inputs!$C$23+DCF!$S$43-1))+SUM(DCF!$E$75:$E$79))/Inputs!$C$31</f>
        <v>121.99398011384675</v>
      </c>
      <c r="G102" s="198">
        <f>IF(SIGN(F101-Inputs!$C$27)=SIGN(G101-Inputs!$C$27),F101,G101)</f>
        <v>121.98694175741142</v>
      </c>
    </row>
    <row r="103" spans="2:7" hidden="1" outlineLevel="1" x14ac:dyDescent="0.35">
      <c r="B103" s="215">
        <v>13</v>
      </c>
      <c r="C103" s="214">
        <f>IF(SIGN(F102-Inputs!$C$27)=SIGN(G102-Inputs!$C$27),E102,C102)</f>
        <v>-3.3532340792084808E-2</v>
      </c>
      <c r="D103" s="214">
        <f>IF(SIGN(F102-Inputs!$C$27)=SIGN(G102-Inputs!$C$27),D102,E102)</f>
        <v>-3.3498801771294752E-2</v>
      </c>
      <c r="E103" s="216">
        <f t="shared" si="2"/>
        <v>-3.3515571281689777E-2</v>
      </c>
      <c r="F103" s="198">
        <f>(SUMPRODUCT(DCF!$L$45:$S$45,(1+WACC!$C$34)^(-DCF!$L$46:$S$46))+Inputs!$C$56*IF(Inputs!$C$58=1,DCF!$S$23*(1+E103)*DCF!$T$29*(1-Drivers!$H$94)*(1-E103/Drivers!$H$93),DCF!$S$35*(1+E103))/(WACC!$C$34-E103)*(1+WACC!$C$34)^(-DCF!$S$46)+Inputs!$C$57*DCF!$S$25*Drivers!$H$95*(1+WACC!$C$34)^(-(Inputs!$C$23+DCF!$S$43-1))+SUM(DCF!$E$75:$E$79))/Inputs!$C$31</f>
        <v>121.99750027213706</v>
      </c>
      <c r="G103" s="198">
        <f>IF(SIGN(F102-Inputs!$C$27)=SIGN(G102-Inputs!$C$27),F102,G102)</f>
        <v>121.99398011384675</v>
      </c>
    </row>
    <row r="104" spans="2:7" hidden="1" outlineLevel="1" x14ac:dyDescent="0.35">
      <c r="B104" s="215">
        <v>14</v>
      </c>
      <c r="C104" s="214">
        <f>IF(SIGN(F103-Inputs!$C$27)=SIGN(G103-Inputs!$C$27),E103,C103)</f>
        <v>-3.3515571281689777E-2</v>
      </c>
      <c r="D104" s="214">
        <f>IF(SIGN(F103-Inputs!$C$27)=SIGN(G103-Inputs!$C$27),D103,E103)</f>
        <v>-3.3498801771294752E-2</v>
      </c>
      <c r="E104" s="216">
        <f t="shared" si="2"/>
        <v>-3.3507186526492261E-2</v>
      </c>
      <c r="F104" s="198">
        <f>(SUMPRODUCT(DCF!$L$45:$S$45,(1+WACC!$C$34)^(-DCF!$L$46:$S$46))+Inputs!$C$56*IF(Inputs!$C$58=1,DCF!$S$23*(1+E104)*DCF!$T$29*(1-Drivers!$H$94)*(1-E104/Drivers!$H$93),DCF!$S$35*(1+E104))/(WACC!$C$34-E104)*(1+WACC!$C$34)^(-DCF!$S$46)+Inputs!$C$57*DCF!$S$25*Drivers!$H$95*(1+WACC!$C$34)^(-(Inputs!$C$23+DCF!$S$43-1))+SUM(DCF!$E$75:$E$79))/Inputs!$C$31</f>
        <v>121.99926059641696</v>
      </c>
      <c r="G104" s="198">
        <f>IF(SIGN(F103-Inputs!$C$27)=SIGN(G103-Inputs!$C$27),F103,G103)</f>
        <v>121.99750027213706</v>
      </c>
    </row>
    <row r="105" spans="2:7" hidden="1" outlineLevel="1" x14ac:dyDescent="0.35">
      <c r="B105" s="215">
        <v>15</v>
      </c>
      <c r="C105" s="214">
        <f>IF(SIGN(F104-Inputs!$C$27)=SIGN(G104-Inputs!$C$27),E104,C104)</f>
        <v>-3.3507186526492261E-2</v>
      </c>
      <c r="D105" s="214">
        <f>IF(SIGN(F104-Inputs!$C$27)=SIGN(G104-Inputs!$C$27),D104,E104)</f>
        <v>-3.3498801771294752E-2</v>
      </c>
      <c r="E105" s="216">
        <f t="shared" si="2"/>
        <v>-3.3502994148893503E-2</v>
      </c>
      <c r="F105" s="198">
        <f>(SUMPRODUCT(DCF!$L$45:$S$45,(1+WACC!$C$34)^(-DCF!$L$46:$S$46))+Inputs!$C$56*IF(Inputs!$C$58=1,DCF!$S$23*(1+E105)*DCF!$T$29*(1-Drivers!$H$94)*(1-E105/Drivers!$H$93),DCF!$S$35*(1+E105))/(WACC!$C$34-E105)*(1+WACC!$C$34)^(-DCF!$S$46)+Inputs!$C$57*DCF!$S$25*Drivers!$H$95*(1+WACC!$C$34)^(-(Inputs!$C$23+DCF!$S$43-1))+SUM(DCF!$E$75:$E$79))/Inputs!$C$31</f>
        <v>122.00014081985519</v>
      </c>
      <c r="G105" s="198">
        <f>IF(SIGN(F104-Inputs!$C$27)=SIGN(G104-Inputs!$C$27),F104,G104)</f>
        <v>121.99926059641696</v>
      </c>
    </row>
    <row r="106" spans="2:7" hidden="1" outlineLevel="1" x14ac:dyDescent="0.35">
      <c r="B106" s="215">
        <v>16</v>
      </c>
      <c r="C106" s="214">
        <f>IF(SIGN(F105-Inputs!$C$27)=SIGN(G105-Inputs!$C$27),E105,C105)</f>
        <v>-3.3507186526492261E-2</v>
      </c>
      <c r="D106" s="214">
        <f>IF(SIGN(F105-Inputs!$C$27)=SIGN(G105-Inputs!$C$27),D105,E105)</f>
        <v>-3.3502994148893503E-2</v>
      </c>
      <c r="E106" s="216">
        <f t="shared" si="2"/>
        <v>-3.3505090337692882E-2</v>
      </c>
      <c r="F106" s="198">
        <f>(SUMPRODUCT(DCF!$L$45:$S$45,(1+WACC!$C$34)^(-DCF!$L$46:$S$46))+Inputs!$C$56*IF(Inputs!$C$58=1,DCF!$S$23*(1+E106)*DCF!$T$29*(1-Drivers!$H$94)*(1-E106/Drivers!$H$93),DCF!$S$35*(1+E106))/(WACC!$C$34-E106)*(1+WACC!$C$34)^(-DCF!$S$46)+Inputs!$C$57*DCF!$S$25*Drivers!$H$95*(1+WACC!$C$34)^(-(Inputs!$C$23+DCF!$S$43-1))+SUM(DCF!$E$75:$E$79))/Inputs!$C$31</f>
        <v>121.9997007030274</v>
      </c>
      <c r="G106" s="198">
        <f>IF(SIGN(F105-Inputs!$C$27)=SIGN(G105-Inputs!$C$27),F105,G105)</f>
        <v>121.99926059641696</v>
      </c>
    </row>
    <row r="107" spans="2:7" hidden="1" outlineLevel="1" x14ac:dyDescent="0.35">
      <c r="B107" s="215">
        <v>17</v>
      </c>
      <c r="C107" s="214">
        <f>IF(SIGN(F106-Inputs!$C$27)=SIGN(G106-Inputs!$C$27),E106,C106)</f>
        <v>-3.3505090337692882E-2</v>
      </c>
      <c r="D107" s="214">
        <f>IF(SIGN(F106-Inputs!$C$27)=SIGN(G106-Inputs!$C$27),D106,E106)</f>
        <v>-3.3502994148893503E-2</v>
      </c>
      <c r="E107" s="216">
        <f t="shared" si="2"/>
        <v>-3.3504042243293189E-2</v>
      </c>
      <c r="F107" s="198">
        <f>(SUMPRODUCT(DCF!$L$45:$S$45,(1+WACC!$C$34)^(-DCF!$L$46:$S$46))+Inputs!$C$56*IF(Inputs!$C$58=1,DCF!$S$23*(1+E107)*DCF!$T$29*(1-Drivers!$H$94)*(1-E107/Drivers!$H$93),DCF!$S$35*(1+E107))/(WACC!$C$34-E107)*(1+WACC!$C$34)^(-DCF!$S$46)+Inputs!$C$57*DCF!$S$25*Drivers!$H$95*(1+WACC!$C$34)^(-(Inputs!$C$23+DCF!$S$43-1))+SUM(DCF!$E$75:$E$79))/Inputs!$C$31</f>
        <v>121.99992076016412</v>
      </c>
      <c r="G107" s="198">
        <f>IF(SIGN(F106-Inputs!$C$27)=SIGN(G106-Inputs!$C$27),F106,G106)</f>
        <v>121.9997007030274</v>
      </c>
    </row>
    <row r="108" spans="2:7" hidden="1" outlineLevel="1" x14ac:dyDescent="0.35">
      <c r="B108" s="215">
        <v>18</v>
      </c>
      <c r="C108" s="214">
        <f>IF(SIGN(F107-Inputs!$C$27)=SIGN(G107-Inputs!$C$27),E107,C107)</f>
        <v>-3.3504042243293189E-2</v>
      </c>
      <c r="D108" s="214">
        <f>IF(SIGN(F107-Inputs!$C$27)=SIGN(G107-Inputs!$C$27),D107,E107)</f>
        <v>-3.3502994148893503E-2</v>
      </c>
      <c r="E108" s="216">
        <f t="shared" si="2"/>
        <v>-3.3503518196093346E-2</v>
      </c>
      <c r="F108" s="198">
        <f>(SUMPRODUCT(DCF!$L$45:$S$45,(1+WACC!$C$34)^(-DCF!$L$46:$S$46))+Inputs!$C$56*IF(Inputs!$C$58=1,DCF!$S$23*(1+E108)*DCF!$T$29*(1-Drivers!$H$94)*(1-E108/Drivers!$H$93),DCF!$S$35*(1+E108))/(WACC!$C$34-E108)*(1+WACC!$C$34)^(-DCF!$S$46)+Inputs!$C$57*DCF!$S$25*Drivers!$H$95*(1+WACC!$C$34)^(-(Inputs!$C$23+DCF!$S$43-1))+SUM(DCF!$E$75:$E$79))/Inputs!$C$31</f>
        <v>122.00003078969034</v>
      </c>
      <c r="G108" s="198">
        <f>IF(SIGN(F107-Inputs!$C$27)=SIGN(G107-Inputs!$C$27),F107,G107)</f>
        <v>121.99992076016412</v>
      </c>
    </row>
    <row r="109" spans="2:7" hidden="1" outlineLevel="1" x14ac:dyDescent="0.35">
      <c r="B109" s="215">
        <v>19</v>
      </c>
      <c r="C109" s="214">
        <f>IF(SIGN(F108-Inputs!$C$27)=SIGN(G108-Inputs!$C$27),E108,C108)</f>
        <v>-3.3504042243293189E-2</v>
      </c>
      <c r="D109" s="214">
        <f>IF(SIGN(F108-Inputs!$C$27)=SIGN(G108-Inputs!$C$27),D108,E108)</f>
        <v>-3.3503518196093346E-2</v>
      </c>
      <c r="E109" s="216">
        <f t="shared" si="2"/>
        <v>-3.3503780219693267E-2</v>
      </c>
      <c r="F109" s="198">
        <f>(SUMPRODUCT(DCF!$L$45:$S$45,(1+WACC!$C$34)^(-DCF!$L$46:$S$46))+Inputs!$C$56*IF(Inputs!$C$58=1,DCF!$S$23*(1+E109)*DCF!$T$29*(1-Drivers!$H$94)*(1-E109/Drivers!$H$93),DCF!$S$35*(1+E109))/(WACC!$C$34-E109)*(1+WACC!$C$34)^(-DCF!$S$46)+Inputs!$C$57*DCF!$S$25*Drivers!$H$95*(1+WACC!$C$34)^(-(Inputs!$C$23+DCF!$S$43-1))+SUM(DCF!$E$75:$E$79))/Inputs!$C$31</f>
        <v>121.99997577484739</v>
      </c>
      <c r="G109" s="198">
        <f>IF(SIGN(F108-Inputs!$C$27)=SIGN(G108-Inputs!$C$27),F108,G108)</f>
        <v>121.99992076016412</v>
      </c>
    </row>
    <row r="110" spans="2:7" hidden="1" outlineLevel="1" x14ac:dyDescent="0.35">
      <c r="B110" s="215">
        <v>20</v>
      </c>
      <c r="C110" s="214">
        <f>IF(SIGN(F109-Inputs!$C$27)=SIGN(G109-Inputs!$C$27),E109,C109)</f>
        <v>-3.3503780219693267E-2</v>
      </c>
      <c r="D110" s="214">
        <f>IF(SIGN(F109-Inputs!$C$27)=SIGN(G109-Inputs!$C$27),D109,E109)</f>
        <v>-3.3503518196093346E-2</v>
      </c>
      <c r="E110" s="216">
        <f t="shared" si="2"/>
        <v>-3.350364920789331E-2</v>
      </c>
      <c r="F110" s="198">
        <f>(SUMPRODUCT(DCF!$L$45:$S$45,(1+WACC!$C$34)^(-DCF!$L$46:$S$46))+Inputs!$C$56*IF(Inputs!$C$58=1,DCF!$S$23*(1+E110)*DCF!$T$29*(1-Drivers!$H$94)*(1-E110/Drivers!$H$93),DCF!$S$35*(1+E110))/(WACC!$C$34-E110)*(1+WACC!$C$34)^(-DCF!$S$46)+Inputs!$C$57*DCF!$S$25*Drivers!$H$95*(1+WACC!$C$34)^(-(Inputs!$C$23+DCF!$S$43-1))+SUM(DCF!$E$75:$E$79))/Inputs!$C$31</f>
        <v>122.00000328224893</v>
      </c>
      <c r="G110" s="198">
        <f>IF(SIGN(F109-Inputs!$C$27)=SIGN(G109-Inputs!$C$27),F109,G109)</f>
        <v>121.99997577484739</v>
      </c>
    </row>
    <row r="111" spans="2:7" hidden="1" outlineLevel="1" x14ac:dyDescent="0.35">
      <c r="B111" s="215">
        <v>21</v>
      </c>
      <c r="C111" s="214">
        <f>IF(SIGN(F110-Inputs!$C$27)=SIGN(G110-Inputs!$C$27),E110,C110)</f>
        <v>-3.3503780219693267E-2</v>
      </c>
      <c r="D111" s="214">
        <f>IF(SIGN(F110-Inputs!$C$27)=SIGN(G110-Inputs!$C$27),D110,E110)</f>
        <v>-3.350364920789331E-2</v>
      </c>
      <c r="E111" s="216">
        <f t="shared" si="2"/>
        <v>-3.3503714713793292E-2</v>
      </c>
      <c r="F111" s="198">
        <f>(SUMPRODUCT(DCF!$L$45:$S$45,(1+WACC!$C$34)^(-DCF!$L$46:$S$46))+Inputs!$C$56*IF(Inputs!$C$58=1,DCF!$S$23*(1+E111)*DCF!$T$29*(1-Drivers!$H$94)*(1-E111/Drivers!$H$93),DCF!$S$35*(1+E111))/(WACC!$C$34-E111)*(1+WACC!$C$34)^(-DCF!$S$46)+Inputs!$C$57*DCF!$S$25*Drivers!$H$95*(1+WACC!$C$34)^(-(Inputs!$C$23+DCF!$S$43-1))+SUM(DCF!$E$75:$E$79))/Inputs!$C$31</f>
        <v>121.99998952854314</v>
      </c>
      <c r="G111" s="198">
        <f>IF(SIGN(F110-Inputs!$C$27)=SIGN(G110-Inputs!$C$27),F110,G110)</f>
        <v>121.99997577484739</v>
      </c>
    </row>
    <row r="112" spans="2:7" hidden="1" outlineLevel="1" x14ac:dyDescent="0.35">
      <c r="B112" s="215">
        <v>22</v>
      </c>
      <c r="C112" s="214">
        <f>IF(SIGN(F111-Inputs!$C$27)=SIGN(G111-Inputs!$C$27),E111,C111)</f>
        <v>-3.3503714713793292E-2</v>
      </c>
      <c r="D112" s="214">
        <f>IF(SIGN(F111-Inputs!$C$27)=SIGN(G111-Inputs!$C$27),D111,E111)</f>
        <v>-3.350364920789331E-2</v>
      </c>
      <c r="E112" s="216">
        <f t="shared" si="2"/>
        <v>-3.3503681960843301E-2</v>
      </c>
      <c r="F112" s="198">
        <f>(SUMPRODUCT(DCF!$L$45:$S$45,(1+WACC!$C$34)^(-DCF!$L$46:$S$46))+Inputs!$C$56*IF(Inputs!$C$58=1,DCF!$S$23*(1+E112)*DCF!$T$29*(1-Drivers!$H$94)*(1-E112/Drivers!$H$93),DCF!$S$35*(1+E112))/(WACC!$C$34-E112)*(1+WACC!$C$34)^(-DCF!$S$46)+Inputs!$C$57*DCF!$S$25*Drivers!$H$95*(1+WACC!$C$34)^(-(Inputs!$C$23+DCF!$S$43-1))+SUM(DCF!$E$75:$E$79))/Inputs!$C$31</f>
        <v>121.99999640539475</v>
      </c>
      <c r="G112" s="198">
        <f>IF(SIGN(F111-Inputs!$C$27)=SIGN(G111-Inputs!$C$27),F111,G111)</f>
        <v>121.99998952854314</v>
      </c>
    </row>
    <row r="113" spans="2:7" hidden="1" outlineLevel="1" x14ac:dyDescent="0.35">
      <c r="B113" s="215">
        <v>23</v>
      </c>
      <c r="C113" s="214">
        <f>IF(SIGN(F112-Inputs!$C$27)=SIGN(G112-Inputs!$C$27),E112,C112)</f>
        <v>-3.3503681960843301E-2</v>
      </c>
      <c r="D113" s="214">
        <f>IF(SIGN(F112-Inputs!$C$27)=SIGN(G112-Inputs!$C$27),D112,E112)</f>
        <v>-3.350364920789331E-2</v>
      </c>
      <c r="E113" s="216">
        <f t="shared" si="2"/>
        <v>-3.3503665584368306E-2</v>
      </c>
      <c r="F113" s="198">
        <f>(SUMPRODUCT(DCF!$L$45:$S$45,(1+WACC!$C$34)^(-DCF!$L$46:$S$46))+Inputs!$C$56*IF(Inputs!$C$58=1,DCF!$S$23*(1+E113)*DCF!$T$29*(1-Drivers!$H$94)*(1-E113/Drivers!$H$93),DCF!$S$35*(1+E113))/(WACC!$C$34-E113)*(1+WACC!$C$34)^(-DCF!$S$46)+Inputs!$C$57*DCF!$S$25*Drivers!$H$95*(1+WACC!$C$34)^(-(Inputs!$C$23+DCF!$S$43-1))+SUM(DCF!$E$75:$E$79))/Inputs!$C$31</f>
        <v>121.99999984382154</v>
      </c>
      <c r="G113" s="198">
        <f>IF(SIGN(F112-Inputs!$C$27)=SIGN(G112-Inputs!$C$27),F112,G112)</f>
        <v>121.99999640539475</v>
      </c>
    </row>
    <row r="114" spans="2:7" hidden="1" outlineLevel="1" x14ac:dyDescent="0.35">
      <c r="B114" s="215">
        <v>24</v>
      </c>
      <c r="C114" s="214">
        <f>IF(SIGN(F113-Inputs!$C$27)=SIGN(G113-Inputs!$C$27),E113,C113)</f>
        <v>-3.3503665584368306E-2</v>
      </c>
      <c r="D114" s="214">
        <f>IF(SIGN(F113-Inputs!$C$27)=SIGN(G113-Inputs!$C$27),D113,E113)</f>
        <v>-3.350364920789331E-2</v>
      </c>
      <c r="E114" s="216">
        <f t="shared" si="2"/>
        <v>-3.3503657396130808E-2</v>
      </c>
      <c r="F114" s="198">
        <f>(SUMPRODUCT(DCF!$L$45:$S$45,(1+WACC!$C$34)^(-DCF!$L$46:$S$46))+Inputs!$C$56*IF(Inputs!$C$58=1,DCF!$S$23*(1+E114)*DCF!$T$29*(1-Drivers!$H$94)*(1-E114/Drivers!$H$93),DCF!$S$35*(1+E114))/(WACC!$C$34-E114)*(1+WACC!$C$34)^(-DCF!$S$46)+Inputs!$C$57*DCF!$S$25*Drivers!$H$95*(1+WACC!$C$34)^(-(Inputs!$C$23+DCF!$S$43-1))+SUM(DCF!$E$75:$E$79))/Inputs!$C$31</f>
        <v>122.00000156303513</v>
      </c>
      <c r="G114" s="198">
        <f>IF(SIGN(F113-Inputs!$C$27)=SIGN(G113-Inputs!$C$27),F113,G113)</f>
        <v>121.99999984382154</v>
      </c>
    </row>
    <row r="115" spans="2:7" hidden="1" outlineLevel="1" x14ac:dyDescent="0.35">
      <c r="B115" s="215">
        <v>25</v>
      </c>
      <c r="C115" s="214">
        <f>IF(SIGN(F114-Inputs!$C$27)=SIGN(G114-Inputs!$C$27),E114,C114)</f>
        <v>-3.3503665584368306E-2</v>
      </c>
      <c r="D115" s="214">
        <f>IF(SIGN(F114-Inputs!$C$27)=SIGN(G114-Inputs!$C$27),D114,E114)</f>
        <v>-3.3503657396130808E-2</v>
      </c>
      <c r="E115" s="216">
        <f t="shared" si="2"/>
        <v>-3.3503661490249553E-2</v>
      </c>
      <c r="F115" s="198">
        <f>(SUMPRODUCT(DCF!$L$45:$S$45,(1+WACC!$C$34)^(-DCF!$L$46:$S$46))+Inputs!$C$56*IF(Inputs!$C$58=1,DCF!$S$23*(1+E115)*DCF!$T$29*(1-Drivers!$H$94)*(1-E115/Drivers!$H$93),DCF!$S$35*(1+E115))/(WACC!$C$34-E115)*(1+WACC!$C$34)^(-DCF!$S$46)+Inputs!$C$57*DCF!$S$25*Drivers!$H$95*(1+WACC!$C$34)^(-(Inputs!$C$23+DCF!$S$43-1))+SUM(DCF!$E$75:$E$79))/Inputs!$C$31</f>
        <v>122.00000070342834</v>
      </c>
      <c r="G115" s="198">
        <f>IF(SIGN(F114-Inputs!$C$27)=SIGN(G114-Inputs!$C$27),F114,G114)</f>
        <v>121.99999984382154</v>
      </c>
    </row>
    <row r="116" spans="2:7" hidden="1" outlineLevel="1" x14ac:dyDescent="0.35">
      <c r="B116" s="215">
        <v>26</v>
      </c>
      <c r="C116" s="214">
        <f>IF(SIGN(F115-Inputs!$C$27)=SIGN(G115-Inputs!$C$27),E115,C115)</f>
        <v>-3.3503665584368306E-2</v>
      </c>
      <c r="D116" s="214">
        <f>IF(SIGN(F115-Inputs!$C$27)=SIGN(G115-Inputs!$C$27),D115,E115)</f>
        <v>-3.3503661490249553E-2</v>
      </c>
      <c r="E116" s="216">
        <f t="shared" si="2"/>
        <v>-3.3503663537308929E-2</v>
      </c>
      <c r="F116" s="198">
        <f>(SUMPRODUCT(DCF!$L$45:$S$45,(1+WACC!$C$34)^(-DCF!$L$46:$S$46))+Inputs!$C$56*IF(Inputs!$C$58=1,DCF!$S$23*(1+E116)*DCF!$T$29*(1-Drivers!$H$94)*(1-E116/Drivers!$H$93),DCF!$S$35*(1+E116))/(WACC!$C$34-E116)*(1+WACC!$C$34)^(-DCF!$S$46)+Inputs!$C$57*DCF!$S$25*Drivers!$H$95*(1+WACC!$C$34)^(-(Inputs!$C$23+DCF!$S$43-1))+SUM(DCF!$E$75:$E$79))/Inputs!$C$31</f>
        <v>122.00000027362489</v>
      </c>
      <c r="G116" s="198">
        <f>IF(SIGN(F115-Inputs!$C$27)=SIGN(G115-Inputs!$C$27),F115,G115)</f>
        <v>121.99999984382154</v>
      </c>
    </row>
    <row r="117" spans="2:7" hidden="1" outlineLevel="1" x14ac:dyDescent="0.35">
      <c r="B117" s="215">
        <v>27</v>
      </c>
      <c r="C117" s="214">
        <f>IF(SIGN(F116-Inputs!$C$27)=SIGN(G116-Inputs!$C$27),E116,C116)</f>
        <v>-3.3503665584368306E-2</v>
      </c>
      <c r="D117" s="214">
        <f>IF(SIGN(F116-Inputs!$C$27)=SIGN(G116-Inputs!$C$27),D116,E116)</f>
        <v>-3.3503663537308929E-2</v>
      </c>
      <c r="E117" s="216">
        <f t="shared" si="2"/>
        <v>-3.3503664560838614E-2</v>
      </c>
      <c r="F117" s="198">
        <f>(SUMPRODUCT(DCF!$L$45:$S$45,(1+WACC!$C$34)^(-DCF!$L$46:$S$46))+Inputs!$C$56*IF(Inputs!$C$58=1,DCF!$S$23*(1+E117)*DCF!$T$29*(1-Drivers!$H$94)*(1-E117/Drivers!$H$93),DCF!$S$35*(1+E117))/(WACC!$C$34-E117)*(1+WACC!$C$34)^(-DCF!$S$46)+Inputs!$C$57*DCF!$S$25*Drivers!$H$95*(1+WACC!$C$34)^(-(Inputs!$C$23+DCF!$S$43-1))+SUM(DCF!$E$75:$E$79))/Inputs!$C$31</f>
        <v>122.00000005872322</v>
      </c>
      <c r="G117" s="198">
        <f>IF(SIGN(F116-Inputs!$C$27)=SIGN(G116-Inputs!$C$27),F116,G116)</f>
        <v>121.99999984382154</v>
      </c>
    </row>
    <row r="118" spans="2:7" hidden="1" outlineLevel="1" x14ac:dyDescent="0.35">
      <c r="B118" s="215">
        <v>28</v>
      </c>
      <c r="C118" s="214">
        <f>IF(SIGN(F117-Inputs!$C$27)=SIGN(G117-Inputs!$C$27),E117,C117)</f>
        <v>-3.3503665584368306E-2</v>
      </c>
      <c r="D118" s="214">
        <f>IF(SIGN(F117-Inputs!$C$27)=SIGN(G117-Inputs!$C$27),D117,E117)</f>
        <v>-3.3503664560838614E-2</v>
      </c>
      <c r="E118" s="216">
        <f t="shared" si="2"/>
        <v>-3.350366507260346E-2</v>
      </c>
      <c r="F118" s="198">
        <f>(SUMPRODUCT(DCF!$L$45:$S$45,(1+WACC!$C$34)^(-DCF!$L$46:$S$46))+Inputs!$C$56*IF(Inputs!$C$58=1,DCF!$S$23*(1+E118)*DCF!$T$29*(1-Drivers!$H$94)*(1-E118/Drivers!$H$93),DCF!$S$35*(1+E118))/(WACC!$C$34-E118)*(1+WACC!$C$34)^(-DCF!$S$46)+Inputs!$C$57*DCF!$S$25*Drivers!$H$95*(1+WACC!$C$34)^(-(Inputs!$C$23+DCF!$S$43-1))+SUM(DCF!$E$75:$E$79))/Inputs!$C$31</f>
        <v>121.99999995127239</v>
      </c>
      <c r="G118" s="198">
        <f>IF(SIGN(F117-Inputs!$C$27)=SIGN(G117-Inputs!$C$27),F117,G117)</f>
        <v>121.99999984382154</v>
      </c>
    </row>
    <row r="119" spans="2:7" hidden="1" outlineLevel="1" x14ac:dyDescent="0.35">
      <c r="B119" s="215">
        <v>29</v>
      </c>
      <c r="C119" s="214">
        <f>IF(SIGN(F118-Inputs!$C$27)=SIGN(G118-Inputs!$C$27),E118,C118)</f>
        <v>-3.350366507260346E-2</v>
      </c>
      <c r="D119" s="214">
        <f>IF(SIGN(F118-Inputs!$C$27)=SIGN(G118-Inputs!$C$27),D118,E118)</f>
        <v>-3.3503664560838614E-2</v>
      </c>
      <c r="E119" s="216">
        <f t="shared" si="2"/>
        <v>-3.350366481672104E-2</v>
      </c>
      <c r="F119" s="198">
        <f>(SUMPRODUCT(DCF!$L$45:$S$45,(1+WACC!$C$34)^(-DCF!$L$46:$S$46))+Inputs!$C$56*IF(Inputs!$C$58=1,DCF!$S$23*(1+E119)*DCF!$T$29*(1-Drivers!$H$94)*(1-E119/Drivers!$H$93),DCF!$S$35*(1+E119))/(WACC!$C$34-E119)*(1+WACC!$C$34)^(-DCF!$S$46)+Inputs!$C$57*DCF!$S$25*Drivers!$H$95*(1+WACC!$C$34)^(-(Inputs!$C$23+DCF!$S$43-1))+SUM(DCF!$E$75:$E$79))/Inputs!$C$31</f>
        <v>122.0000000049978</v>
      </c>
      <c r="G119" s="198">
        <f>IF(SIGN(F118-Inputs!$C$27)=SIGN(G118-Inputs!$C$27),F118,G118)</f>
        <v>121.99999995127239</v>
      </c>
    </row>
    <row r="120" spans="2:7" hidden="1" outlineLevel="1" x14ac:dyDescent="0.35">
      <c r="B120" s="215">
        <v>30</v>
      </c>
      <c r="C120" s="214">
        <f>IF(SIGN(F119-Inputs!$C$27)=SIGN(G119-Inputs!$C$27),E119,C119)</f>
        <v>-3.350366507260346E-2</v>
      </c>
      <c r="D120" s="214">
        <f>IF(SIGN(F119-Inputs!$C$27)=SIGN(G119-Inputs!$C$27),D119,E119)</f>
        <v>-3.350366481672104E-2</v>
      </c>
      <c r="E120" s="216">
        <f t="shared" si="2"/>
        <v>-3.3503664944662254E-2</v>
      </c>
      <c r="F120" s="198">
        <f>(SUMPRODUCT(DCF!$L$45:$S$45,(1+WACC!$C$34)^(-DCF!$L$46:$S$46))+Inputs!$C$56*IF(Inputs!$C$58=1,DCF!$S$23*(1+E120)*DCF!$T$29*(1-Drivers!$H$94)*(1-E120/Drivers!$H$93),DCF!$S$35*(1+E120))/(WACC!$C$34-E120)*(1+WACC!$C$34)^(-DCF!$S$46)+Inputs!$C$57*DCF!$S$25*Drivers!$H$95*(1+WACC!$C$34)^(-(Inputs!$C$23+DCF!$S$43-1))+SUM(DCF!$E$75:$E$79))/Inputs!$C$31</f>
        <v>121.99999997813508</v>
      </c>
      <c r="G120" s="198">
        <f>IF(SIGN(F119-Inputs!$C$27)=SIGN(G119-Inputs!$C$27),F119,G119)</f>
        <v>121.99999995127239</v>
      </c>
    </row>
    <row r="121" spans="2:7" hidden="1" outlineLevel="1" x14ac:dyDescent="0.35">
      <c r="B121" s="215">
        <v>31</v>
      </c>
      <c r="C121" s="214">
        <f>IF(SIGN(F120-Inputs!$C$27)=SIGN(G120-Inputs!$C$27),E120,C120)</f>
        <v>-3.3503664944662254E-2</v>
      </c>
      <c r="D121" s="214">
        <f>IF(SIGN(F120-Inputs!$C$27)=SIGN(G120-Inputs!$C$27),D120,E120)</f>
        <v>-3.350366481672104E-2</v>
      </c>
      <c r="E121" s="216">
        <f t="shared" si="2"/>
        <v>-3.3503664880691647E-2</v>
      </c>
      <c r="F121" s="198">
        <f>(SUMPRODUCT(DCF!$L$45:$S$45,(1+WACC!$C$34)^(-DCF!$L$46:$S$46))+Inputs!$C$56*IF(Inputs!$C$58=1,DCF!$S$23*(1+E121)*DCF!$T$29*(1-Drivers!$H$94)*(1-E121/Drivers!$H$93),DCF!$S$35*(1+E121))/(WACC!$C$34-E121)*(1+WACC!$C$34)^(-DCF!$S$46)+Inputs!$C$57*DCF!$S$25*Drivers!$H$95*(1+WACC!$C$34)^(-(Inputs!$C$23+DCF!$S$43-1))+SUM(DCF!$E$75:$E$79))/Inputs!$C$31</f>
        <v>121.99999999156645</v>
      </c>
      <c r="G121" s="198">
        <f>IF(SIGN(F120-Inputs!$C$27)=SIGN(G120-Inputs!$C$27),F120,G120)</f>
        <v>121.99999997813508</v>
      </c>
    </row>
    <row r="122" spans="2:7" hidden="1" outlineLevel="1" x14ac:dyDescent="0.35">
      <c r="B122" s="215">
        <v>32</v>
      </c>
      <c r="C122" s="214">
        <f>IF(SIGN(F121-Inputs!$C$27)=SIGN(G121-Inputs!$C$27),E121,C121)</f>
        <v>-3.3503664880691647E-2</v>
      </c>
      <c r="D122" s="214">
        <f>IF(SIGN(F121-Inputs!$C$27)=SIGN(G121-Inputs!$C$27),D121,E121)</f>
        <v>-3.350366481672104E-2</v>
      </c>
      <c r="E122" s="216">
        <f t="shared" si="2"/>
        <v>-3.3503664848706344E-2</v>
      </c>
      <c r="F122" s="198">
        <f>(SUMPRODUCT(DCF!$L$45:$S$45,(1+WACC!$C$34)^(-DCF!$L$46:$S$46))+Inputs!$C$56*IF(Inputs!$C$58=1,DCF!$S$23*(1+E122)*DCF!$T$29*(1-Drivers!$H$94)*(1-E122/Drivers!$H$93),DCF!$S$35*(1+E122))/(WACC!$C$34-E122)*(1+WACC!$C$34)^(-DCF!$S$46)+Inputs!$C$57*DCF!$S$25*Drivers!$H$95*(1+WACC!$C$34)^(-(Inputs!$C$23+DCF!$S$43-1))+SUM(DCF!$E$75:$E$79))/Inputs!$C$31</f>
        <v>121.99999999828214</v>
      </c>
      <c r="G122" s="198">
        <f>IF(SIGN(F121-Inputs!$C$27)=SIGN(G121-Inputs!$C$27),F121,G121)</f>
        <v>121.99999999156645</v>
      </c>
    </row>
    <row r="123" spans="2:7" hidden="1" outlineLevel="1" x14ac:dyDescent="0.35">
      <c r="B123" s="215">
        <v>33</v>
      </c>
      <c r="C123" s="214">
        <f>IF(SIGN(F122-Inputs!$C$27)=SIGN(G122-Inputs!$C$27),E122,C122)</f>
        <v>-3.3503664848706344E-2</v>
      </c>
      <c r="D123" s="214">
        <f>IF(SIGN(F122-Inputs!$C$27)=SIGN(G122-Inputs!$C$27),D122,E122)</f>
        <v>-3.350366481672104E-2</v>
      </c>
      <c r="E123" s="216">
        <f t="shared" si="2"/>
        <v>-3.3503664832713692E-2</v>
      </c>
      <c r="F123" s="198">
        <f>(SUMPRODUCT(DCF!$L$45:$S$45,(1+WACC!$C$34)^(-DCF!$L$46:$S$46))+Inputs!$C$56*IF(Inputs!$C$58=1,DCF!$S$23*(1+E123)*DCF!$T$29*(1-Drivers!$H$94)*(1-E123/Drivers!$H$93),DCF!$S$35*(1+E123))/(WACC!$C$34-E123)*(1+WACC!$C$34)^(-DCF!$S$46)+Inputs!$C$57*DCF!$S$25*Drivers!$H$95*(1+WACC!$C$34)^(-(Inputs!$C$23+DCF!$S$43-1))+SUM(DCF!$E$75:$E$79))/Inputs!$C$31</f>
        <v>122.00000000163996</v>
      </c>
      <c r="G123" s="198">
        <f>IF(SIGN(F122-Inputs!$C$27)=SIGN(G122-Inputs!$C$27),F122,G122)</f>
        <v>121.99999999828214</v>
      </c>
    </row>
    <row r="124" spans="2:7" hidden="1" outlineLevel="1" x14ac:dyDescent="0.35">
      <c r="B124" s="215">
        <v>34</v>
      </c>
      <c r="C124" s="214">
        <f>IF(SIGN(F123-Inputs!$C$27)=SIGN(G123-Inputs!$C$27),E123,C123)</f>
        <v>-3.3503664848706344E-2</v>
      </c>
      <c r="D124" s="214">
        <f>IF(SIGN(F123-Inputs!$C$27)=SIGN(G123-Inputs!$C$27),D123,E123)</f>
        <v>-3.3503664832713692E-2</v>
      </c>
      <c r="E124" s="216">
        <f t="shared" si="2"/>
        <v>-3.3503664840710018E-2</v>
      </c>
      <c r="F124" s="198">
        <f>(SUMPRODUCT(DCF!$L$45:$S$45,(1+WACC!$C$34)^(-DCF!$L$46:$S$46))+Inputs!$C$56*IF(Inputs!$C$58=1,DCF!$S$23*(1+E124)*DCF!$T$29*(1-Drivers!$H$94)*(1-E124/Drivers!$H$93),DCF!$S$35*(1+E124))/(WACC!$C$34-E124)*(1+WACC!$C$34)^(-DCF!$S$46)+Inputs!$C$57*DCF!$S$25*Drivers!$H$95*(1+WACC!$C$34)^(-(Inputs!$C$23+DCF!$S$43-1))+SUM(DCF!$E$75:$E$79))/Inputs!$C$31</f>
        <v>121.99999999996105</v>
      </c>
      <c r="G124" s="198">
        <f>IF(SIGN(F123-Inputs!$C$27)=SIGN(G123-Inputs!$C$27),F123,G123)</f>
        <v>121.99999999828214</v>
      </c>
    </row>
    <row r="125" spans="2:7" hidden="1" outlineLevel="1" x14ac:dyDescent="0.35">
      <c r="B125" s="215">
        <v>35</v>
      </c>
      <c r="C125" s="214">
        <f>IF(SIGN(F124-Inputs!$C$27)=SIGN(G124-Inputs!$C$27),E124,C124)</f>
        <v>-3.3503664840710018E-2</v>
      </c>
      <c r="D125" s="214">
        <f>IF(SIGN(F124-Inputs!$C$27)=SIGN(G124-Inputs!$C$27),D124,E124)</f>
        <v>-3.3503664832713692E-2</v>
      </c>
      <c r="E125" s="216">
        <f t="shared" si="2"/>
        <v>-3.3503664836711855E-2</v>
      </c>
      <c r="F125" s="198">
        <f>(SUMPRODUCT(DCF!$L$45:$S$45,(1+WACC!$C$34)^(-DCF!$L$46:$S$46))+Inputs!$C$56*IF(Inputs!$C$58=1,DCF!$S$23*(1+E125)*DCF!$T$29*(1-Drivers!$H$94)*(1-E125/Drivers!$H$93),DCF!$S$35*(1+E125))/(WACC!$C$34-E125)*(1+WACC!$C$34)^(-DCF!$S$46)+Inputs!$C$57*DCF!$S$25*Drivers!$H$95*(1+WACC!$C$34)^(-(Inputs!$C$23+DCF!$S$43-1))+SUM(DCF!$E$75:$E$79))/Inputs!$C$31</f>
        <v>122.0000000008005</v>
      </c>
      <c r="G125" s="198">
        <f>IF(SIGN(F124-Inputs!$C$27)=SIGN(G124-Inputs!$C$27),F124,G124)</f>
        <v>121.99999999996105</v>
      </c>
    </row>
    <row r="126" spans="2:7" hidden="1" outlineLevel="1" x14ac:dyDescent="0.35">
      <c r="B126" s="215">
        <v>36</v>
      </c>
      <c r="C126" s="214">
        <f>IF(SIGN(F125-Inputs!$C$27)=SIGN(G125-Inputs!$C$27),E125,C125)</f>
        <v>-3.3503664840710018E-2</v>
      </c>
      <c r="D126" s="214">
        <f>IF(SIGN(F125-Inputs!$C$27)=SIGN(G125-Inputs!$C$27),D125,E125)</f>
        <v>-3.3503664836711855E-2</v>
      </c>
      <c r="E126" s="216">
        <f t="shared" si="2"/>
        <v>-3.3503664838710936E-2</v>
      </c>
      <c r="F126" s="198">
        <f>(SUMPRODUCT(DCF!$L$45:$S$45,(1+WACC!$C$34)^(-DCF!$L$46:$S$46))+Inputs!$C$56*IF(Inputs!$C$58=1,DCF!$S$23*(1+E126)*DCF!$T$29*(1-Drivers!$H$94)*(1-E126/Drivers!$H$93),DCF!$S$35*(1+E126))/(WACC!$C$34-E126)*(1+WACC!$C$34)^(-DCF!$S$46)+Inputs!$C$57*DCF!$S$25*Drivers!$H$95*(1+WACC!$C$34)^(-(Inputs!$C$23+DCF!$S$43-1))+SUM(DCF!$E$75:$E$79))/Inputs!$C$31</f>
        <v>122.00000000038077</v>
      </c>
      <c r="G126" s="198">
        <f>IF(SIGN(F125-Inputs!$C$27)=SIGN(G125-Inputs!$C$27),F125,G125)</f>
        <v>121.99999999996105</v>
      </c>
    </row>
    <row r="127" spans="2:7" hidden="1" outlineLevel="1" x14ac:dyDescent="0.35">
      <c r="B127" s="215">
        <v>37</v>
      </c>
      <c r="C127" s="214">
        <f>IF(SIGN(F126-Inputs!$C$27)=SIGN(G126-Inputs!$C$27),E126,C126)</f>
        <v>-3.3503664840710018E-2</v>
      </c>
      <c r="D127" s="214">
        <f>IF(SIGN(F126-Inputs!$C$27)=SIGN(G126-Inputs!$C$27),D126,E126)</f>
        <v>-3.3503664838710936E-2</v>
      </c>
      <c r="E127" s="216">
        <f t="shared" si="2"/>
        <v>-3.3503664839710477E-2</v>
      </c>
      <c r="F127" s="198">
        <f>(SUMPRODUCT(DCF!$L$45:$S$45,(1+WACC!$C$34)^(-DCF!$L$46:$S$46))+Inputs!$C$56*IF(Inputs!$C$58=1,DCF!$S$23*(1+E127)*DCF!$T$29*(1-Drivers!$H$94)*(1-E127/Drivers!$H$93),DCF!$S$35*(1+E127))/(WACC!$C$34-E127)*(1+WACC!$C$34)^(-DCF!$S$46)+Inputs!$C$57*DCF!$S$25*Drivers!$H$95*(1+WACC!$C$34)^(-(Inputs!$C$23+DCF!$S$43-1))+SUM(DCF!$E$75:$E$79))/Inputs!$C$31</f>
        <v>122.00000000017091</v>
      </c>
      <c r="G127" s="198">
        <f>IF(SIGN(F126-Inputs!$C$27)=SIGN(G126-Inputs!$C$27),F126,G126)</f>
        <v>121.99999999996105</v>
      </c>
    </row>
    <row r="128" spans="2:7" hidden="1" outlineLevel="1" x14ac:dyDescent="0.35">
      <c r="B128" s="215">
        <v>38</v>
      </c>
      <c r="C128" s="214">
        <f>IF(SIGN(F127-Inputs!$C$27)=SIGN(G127-Inputs!$C$27),E127,C127)</f>
        <v>-3.3503664840710018E-2</v>
      </c>
      <c r="D128" s="214">
        <f>IF(SIGN(F127-Inputs!$C$27)=SIGN(G127-Inputs!$C$27),D127,E127)</f>
        <v>-3.3503664839710477E-2</v>
      </c>
      <c r="E128" s="216">
        <f t="shared" si="2"/>
        <v>-3.3503664840210251E-2</v>
      </c>
      <c r="F128" s="198">
        <f>(SUMPRODUCT(DCF!$L$45:$S$45,(1+WACC!$C$34)^(-DCF!$L$46:$S$46))+Inputs!$C$56*IF(Inputs!$C$58=1,DCF!$S$23*(1+E128)*DCF!$T$29*(1-Drivers!$H$94)*(1-E128/Drivers!$H$93),DCF!$S$35*(1+E128))/(WACC!$C$34-E128)*(1+WACC!$C$34)^(-DCF!$S$46)+Inputs!$C$57*DCF!$S$25*Drivers!$H$95*(1+WACC!$C$34)^(-(Inputs!$C$23+DCF!$S$43-1))+SUM(DCF!$E$75:$E$79))/Inputs!$C$31</f>
        <v>122.00000000006595</v>
      </c>
      <c r="G128" s="198">
        <f>IF(SIGN(F127-Inputs!$C$27)=SIGN(G127-Inputs!$C$27),F127,G127)</f>
        <v>121.99999999996105</v>
      </c>
    </row>
    <row r="129" spans="2:7" hidden="1" outlineLevel="1" x14ac:dyDescent="0.35">
      <c r="B129" s="215">
        <v>39</v>
      </c>
      <c r="C129" s="214">
        <f>IF(SIGN(F128-Inputs!$C$27)=SIGN(G128-Inputs!$C$27),E128,C128)</f>
        <v>-3.3503664840710018E-2</v>
      </c>
      <c r="D129" s="214">
        <f>IF(SIGN(F128-Inputs!$C$27)=SIGN(G128-Inputs!$C$27),D128,E128)</f>
        <v>-3.3503664840210251E-2</v>
      </c>
      <c r="E129" s="216">
        <f t="shared" si="2"/>
        <v>-3.3503664840460134E-2</v>
      </c>
      <c r="F129" s="198">
        <f>(SUMPRODUCT(DCF!$L$45:$S$45,(1+WACC!$C$34)^(-DCF!$L$46:$S$46))+Inputs!$C$56*IF(Inputs!$C$58=1,DCF!$S$23*(1+E129)*DCF!$T$29*(1-Drivers!$H$94)*(1-E129/Drivers!$H$93),DCF!$S$35*(1+E129))/(WACC!$C$34-E129)*(1+WACC!$C$34)^(-DCF!$S$46)+Inputs!$C$57*DCF!$S$25*Drivers!$H$95*(1+WACC!$C$34)^(-(Inputs!$C$23+DCF!$S$43-1))+SUM(DCF!$E$75:$E$79))/Inputs!$C$31</f>
        <v>122.00000000001351</v>
      </c>
      <c r="G129" s="198">
        <f>IF(SIGN(F128-Inputs!$C$27)=SIGN(G128-Inputs!$C$27),F128,G128)</f>
        <v>121.99999999996105</v>
      </c>
    </row>
    <row r="130" spans="2:7" hidden="1" outlineLevel="1" x14ac:dyDescent="0.35">
      <c r="B130" s="215">
        <v>40</v>
      </c>
      <c r="C130" s="214">
        <f>IF(SIGN(F129-Inputs!$C$27)=SIGN(G129-Inputs!$C$27),E129,C129)</f>
        <v>-3.3503664840710018E-2</v>
      </c>
      <c r="D130" s="214">
        <f>IF(SIGN(F129-Inputs!$C$27)=SIGN(G129-Inputs!$C$27),D129,E129)</f>
        <v>-3.3503664840460134E-2</v>
      </c>
      <c r="E130" s="216">
        <f t="shared" si="2"/>
        <v>-3.3503664840585076E-2</v>
      </c>
      <c r="F130" s="198">
        <f>(SUMPRODUCT(DCF!$L$45:$S$45,(1+WACC!$C$34)^(-DCF!$L$46:$S$46))+Inputs!$C$56*IF(Inputs!$C$58=1,DCF!$S$23*(1+E130)*DCF!$T$29*(1-Drivers!$H$94)*(1-E130/Drivers!$H$93),DCF!$S$35*(1+E130))/(WACC!$C$34-E130)*(1+WACC!$C$34)^(-DCF!$S$46)+Inputs!$C$57*DCF!$S$25*Drivers!$H$95*(1+WACC!$C$34)^(-(Inputs!$C$23+DCF!$S$43-1))+SUM(DCF!$E$75:$E$79))/Inputs!$C$31</f>
        <v>121.99999999998727</v>
      </c>
      <c r="G130" s="198">
        <f>IF(SIGN(F129-Inputs!$C$27)=SIGN(G129-Inputs!$C$27),F129,G129)</f>
        <v>121.99999999996105</v>
      </c>
    </row>
    <row r="131" spans="2:7" x14ac:dyDescent="0.35">
      <c r="B131" s="61" t="s">
        <v>902</v>
      </c>
      <c r="C131" s="217">
        <f>IF(C90=1,E130,"outside range")</f>
        <v>-3.3503664840585076E-2</v>
      </c>
      <c r="D131" s="63"/>
      <c r="E131" s="63"/>
      <c r="F131" s="63"/>
      <c r="G131" s="63"/>
    </row>
  </sheetData>
  <mergeCells count="3">
    <mergeCell ref="B19:G19"/>
    <mergeCell ref="B20:G20"/>
    <mergeCell ref="B18:G18"/>
  </mergeCells>
  <printOptions horizontalCentered="1"/>
  <pageMargins left="0.4" right="0.4" top="1" bottom="1" header="0.5" footer="0.5"/>
  <pageSetup paperSize="9" fitToHeight="0"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4F7FA0"/>
    <pageSetUpPr fitToPage="1"/>
  </sheetPr>
  <dimension ref="B1:O46"/>
  <sheetViews>
    <sheetView showGridLines="0" zoomScale="90" workbookViewId="0">
      <pane ySplit="3" topLeftCell="A4" activePane="bottomLeft" state="frozen"/>
      <selection pane="bottomLeft"/>
    </sheetView>
  </sheetViews>
  <sheetFormatPr defaultRowHeight="14.5" x14ac:dyDescent="0.35"/>
  <cols>
    <col min="1" max="1" width="2" customWidth="1"/>
    <col min="2" max="2" width="42" customWidth="1"/>
    <col min="3" max="11" width="11.453125" customWidth="1"/>
    <col min="12" max="12" width="2" customWidth="1"/>
    <col min="13" max="14" width="9" customWidth="1"/>
  </cols>
  <sheetData>
    <row r="1" spans="2:11" ht="24" customHeight="1" x14ac:dyDescent="0.4">
      <c r="B1" s="30" t="s">
        <v>66</v>
      </c>
      <c r="K1" s="54" t="str">
        <f>Inputs!$C$6&amp;"  |  Scenario: "&amp;Inputs!$C$53</f>
        <v>Example Company ASA  |  Scenario: Base</v>
      </c>
    </row>
    <row r="2" spans="2:11" x14ac:dyDescent="0.35">
      <c r="B2" s="15" t="s">
        <v>903</v>
      </c>
    </row>
    <row r="4" spans="2:11" x14ac:dyDescent="0.35">
      <c r="B4" s="31" t="s">
        <v>904</v>
      </c>
      <c r="C4" s="31"/>
      <c r="D4" s="31"/>
      <c r="E4" s="31"/>
      <c r="F4" s="31"/>
      <c r="G4" s="31"/>
      <c r="H4" s="31"/>
      <c r="I4" s="31"/>
      <c r="J4" s="31"/>
      <c r="K4" s="31"/>
    </row>
    <row r="5" spans="2:11" x14ac:dyDescent="0.35">
      <c r="B5" s="40" t="s">
        <v>905</v>
      </c>
      <c r="C5" s="260" t="s">
        <v>906</v>
      </c>
      <c r="D5" s="253"/>
      <c r="E5" s="253"/>
      <c r="F5" s="253"/>
      <c r="G5" s="253"/>
    </row>
    <row r="6" spans="2:11" x14ac:dyDescent="0.35">
      <c r="B6" s="40" t="s">
        <v>907</v>
      </c>
      <c r="C6" s="219">
        <v>46280</v>
      </c>
    </row>
    <row r="7" spans="2:11" x14ac:dyDescent="0.35">
      <c r="B7" s="40" t="s">
        <v>908</v>
      </c>
      <c r="C7" s="97">
        <v>6</v>
      </c>
    </row>
    <row r="8" spans="2:11" x14ac:dyDescent="0.35">
      <c r="B8" s="40" t="s">
        <v>909</v>
      </c>
      <c r="C8" s="97">
        <v>4</v>
      </c>
      <c r="D8" s="97">
        <v>2</v>
      </c>
      <c r="E8" s="97">
        <v>0</v>
      </c>
    </row>
    <row r="9" spans="2:11" x14ac:dyDescent="0.35">
      <c r="B9" s="40" t="s">
        <v>910</v>
      </c>
      <c r="C9" s="206">
        <f>Inputs!$C$35</f>
        <v>135</v>
      </c>
      <c r="D9" s="24" t="s">
        <v>911</v>
      </c>
      <c r="E9" s="123">
        <f>C9/Inputs!$C$27-1</f>
        <v>0.10655737704918034</v>
      </c>
    </row>
    <row r="11" spans="2:11" x14ac:dyDescent="0.35">
      <c r="B11" s="31" t="s">
        <v>912</v>
      </c>
      <c r="C11" s="31"/>
      <c r="D11" s="31"/>
      <c r="E11" s="31"/>
      <c r="F11" s="31"/>
      <c r="G11" s="31"/>
      <c r="H11" s="31"/>
      <c r="I11" s="31"/>
      <c r="J11" s="31"/>
      <c r="K11" s="31"/>
    </row>
    <row r="12" spans="2:11" x14ac:dyDescent="0.35">
      <c r="B12" s="15" t="str">
        <f>Inputs!$C$11</f>
        <v>NOKm</v>
      </c>
      <c r="C12" s="256" t="str">
        <f>Model!L$5</f>
        <v>2026E</v>
      </c>
      <c r="D12" s="253"/>
      <c r="E12" s="253"/>
      <c r="F12" s="256" t="str">
        <f>Model!M$5</f>
        <v>2027E</v>
      </c>
      <c r="G12" s="253"/>
      <c r="H12" s="253"/>
      <c r="I12" s="256" t="str">
        <f>Model!N$5</f>
        <v>2028E</v>
      </c>
      <c r="J12" s="253"/>
      <c r="K12" s="253"/>
    </row>
    <row r="13" spans="2:11" x14ac:dyDescent="0.35">
      <c r="B13" s="85"/>
      <c r="C13" s="86" t="s">
        <v>913</v>
      </c>
      <c r="D13" s="86" t="s">
        <v>65</v>
      </c>
      <c r="E13" s="86" t="s">
        <v>858</v>
      </c>
      <c r="F13" s="86" t="s">
        <v>913</v>
      </c>
      <c r="G13" s="86" t="s">
        <v>65</v>
      </c>
      <c r="H13" s="86" t="s">
        <v>858</v>
      </c>
      <c r="I13" s="86" t="s">
        <v>913</v>
      </c>
      <c r="J13" s="86" t="s">
        <v>65</v>
      </c>
      <c r="K13" s="86" t="s">
        <v>858</v>
      </c>
    </row>
    <row r="14" spans="2:11" x14ac:dyDescent="0.35">
      <c r="B14" s="40" t="s">
        <v>455</v>
      </c>
      <c r="C14" s="220">
        <f>Model!$L$67</f>
        <v>5726.4479591482213</v>
      </c>
      <c r="D14" s="89">
        <v>5698</v>
      </c>
      <c r="E14" s="221">
        <f>IFERROR(C14/D14-1,"n.a.")</f>
        <v>4.9926218231346464E-3</v>
      </c>
      <c r="F14" s="220">
        <f>Model!$M$67</f>
        <v>6083.8427205928429</v>
      </c>
      <c r="G14" s="89">
        <v>5994</v>
      </c>
      <c r="H14" s="221">
        <f>IFERROR(F14/G14-1,"n.a.")</f>
        <v>1.4988775541014743E-2</v>
      </c>
      <c r="I14" s="220">
        <f>Model!$N$67</f>
        <v>6479.0281577074584</v>
      </c>
      <c r="J14" s="89">
        <v>6321</v>
      </c>
      <c r="K14" s="221">
        <f>IFERROR(I14/J14-1,"n.a.")</f>
        <v>2.5000499558212042E-2</v>
      </c>
    </row>
    <row r="15" spans="2:11" x14ac:dyDescent="0.35">
      <c r="B15" s="40" t="s">
        <v>269</v>
      </c>
      <c r="C15" s="220">
        <f>Model!$L$78</f>
        <v>1701.3324177709658</v>
      </c>
      <c r="D15" s="89">
        <v>1684</v>
      </c>
      <c r="E15" s="221">
        <f>IFERROR(C15/D15-1,"n.a.")</f>
        <v>1.0292409602711272E-2</v>
      </c>
      <c r="F15" s="220">
        <f>Model!$M$78</f>
        <v>1819.4507179097827</v>
      </c>
      <c r="G15" s="89">
        <v>1775</v>
      </c>
      <c r="H15" s="221">
        <f>IFERROR(F15/G15-1,"n.a.")</f>
        <v>2.5042657977342397E-2</v>
      </c>
      <c r="I15" s="220">
        <f>Model!$N$78</f>
        <v>1956.305912669912</v>
      </c>
      <c r="J15" s="89">
        <v>1881</v>
      </c>
      <c r="K15" s="221">
        <f>IFERROR(I15/J15-1,"n.a.")</f>
        <v>4.003504129181934E-2</v>
      </c>
    </row>
    <row r="16" spans="2:11" x14ac:dyDescent="0.35">
      <c r="B16" s="11" t="s">
        <v>482</v>
      </c>
      <c r="C16" s="220">
        <f>Model!$L$91</f>
        <v>1089.5506253254534</v>
      </c>
      <c r="D16" s="89">
        <v>1073</v>
      </c>
      <c r="E16" s="221">
        <f>IFERROR(C16/D16-1,"n.a.")</f>
        <v>1.5424627516732015E-2</v>
      </c>
      <c r="F16" s="220">
        <f>Model!$M$91</f>
        <v>1170.4972559793987</v>
      </c>
      <c r="G16" s="89">
        <v>1131</v>
      </c>
      <c r="H16" s="221">
        <f>IFERROR(F16/G16-1,"n.a.")</f>
        <v>3.4922419079928213E-2</v>
      </c>
      <c r="I16" s="220">
        <f>Model!$N$91</f>
        <v>1268.408189896111</v>
      </c>
      <c r="J16" s="89">
        <v>1197</v>
      </c>
      <c r="K16" s="221">
        <f>IFERROR(I16/J16-1,"n.a.")</f>
        <v>5.9655964825489516E-2</v>
      </c>
    </row>
    <row r="17" spans="2:15" x14ac:dyDescent="0.35">
      <c r="B17" s="11" t="s">
        <v>914</v>
      </c>
      <c r="C17" s="206">
        <f>Model!$L$105</f>
        <v>8.5718035380831878</v>
      </c>
      <c r="D17" s="222">
        <v>8.4</v>
      </c>
      <c r="E17" s="221">
        <f>IFERROR(C17/D17-1,"n.a.")</f>
        <v>2.0452802152760352E-2</v>
      </c>
      <c r="F17" s="206">
        <f>Model!$M$105</f>
        <v>9.4823133207569885</v>
      </c>
      <c r="G17" s="222">
        <v>9.0299999999999994</v>
      </c>
      <c r="H17" s="221">
        <f>IFERROR(F17/G17-1,"n.a.")</f>
        <v>5.0090068743852578E-2</v>
      </c>
      <c r="I17" s="206">
        <f>Model!$N$105</f>
        <v>10.506241450121808</v>
      </c>
      <c r="J17" s="222">
        <v>9.68</v>
      </c>
      <c r="K17" s="221">
        <f>IFERROR(I17/J17-1,"n.a.")</f>
        <v>8.5355521706798276E-2</v>
      </c>
    </row>
    <row r="18" spans="2:15" x14ac:dyDescent="0.35">
      <c r="B18" s="40" t="s">
        <v>915</v>
      </c>
      <c r="C18" s="206">
        <f>Model!$L$107</f>
        <v>5.5716722997540726</v>
      </c>
      <c r="D18" s="222">
        <v>5.52</v>
      </c>
      <c r="E18" s="221">
        <f>IFERROR(C18/D18-1,"n.a.")</f>
        <v>9.3609238684915219E-3</v>
      </c>
      <c r="F18" s="206">
        <f>Model!$M$107</f>
        <v>6.6376193245298918</v>
      </c>
      <c r="G18" s="222">
        <v>6.38</v>
      </c>
      <c r="H18" s="221">
        <f>IFERROR(F18/G18-1,"n.a.")</f>
        <v>4.0379204471769903E-2</v>
      </c>
      <c r="I18" s="206">
        <f>Model!$N$107</f>
        <v>7.8796810875913561</v>
      </c>
      <c r="J18" s="222">
        <v>7.36</v>
      </c>
      <c r="K18" s="221">
        <f>IFERROR(I18/J18-1,"n.a.")</f>
        <v>7.0608843422738543E-2</v>
      </c>
    </row>
    <row r="19" spans="2:15" x14ac:dyDescent="0.35">
      <c r="B19" s="223" t="s">
        <v>483</v>
      </c>
      <c r="C19" s="224">
        <f>IFERROR(C16/C14,0)</f>
        <v>0.19026639779112187</v>
      </c>
      <c r="D19" s="224">
        <f>IFERROR(D16/D14,0)</f>
        <v>0.18831168831168832</v>
      </c>
      <c r="E19" s="225">
        <f>C19-D19</f>
        <v>1.9547094794335473E-3</v>
      </c>
      <c r="F19" s="224">
        <f>IFERROR(F16/F14,0)</f>
        <v>0.19239439770812139</v>
      </c>
      <c r="G19" s="224">
        <f>IFERROR(G16/G14,0)</f>
        <v>0.18868868868868868</v>
      </c>
      <c r="H19" s="225">
        <f>F19-G19</f>
        <v>3.7057090194327069E-3</v>
      </c>
      <c r="I19" s="224">
        <f>IFERROR(I16/I14,0)</f>
        <v>0.19577136555383098</v>
      </c>
      <c r="J19" s="224">
        <f>IFERROR(J16/J14,0)</f>
        <v>0.18936877076411959</v>
      </c>
      <c r="K19" s="225">
        <f>I19-J19</f>
        <v>6.4025947897113911E-3</v>
      </c>
    </row>
    <row r="20" spans="2:15" x14ac:dyDescent="0.35">
      <c r="B20" s="15" t="s">
        <v>916</v>
      </c>
    </row>
    <row r="21" spans="2:15" x14ac:dyDescent="0.35">
      <c r="B21" s="31" t="s">
        <v>917</v>
      </c>
      <c r="C21" s="31"/>
      <c r="D21" s="31"/>
      <c r="E21" s="31"/>
      <c r="F21" s="31"/>
      <c r="G21" s="31"/>
      <c r="H21" s="31"/>
      <c r="I21" s="31"/>
      <c r="J21" s="31"/>
      <c r="K21" s="31"/>
    </row>
    <row r="22" spans="2:15" x14ac:dyDescent="0.35">
      <c r="M22" s="170" t="s">
        <v>918</v>
      </c>
      <c r="N22" s="170" t="s">
        <v>919</v>
      </c>
      <c r="O22" s="15" t="s">
        <v>920</v>
      </c>
    </row>
    <row r="23" spans="2:15" ht="15" customHeight="1" x14ac:dyDescent="0.35">
      <c r="B23" s="226" t="s">
        <v>921</v>
      </c>
      <c r="C23" s="261" t="s">
        <v>922</v>
      </c>
      <c r="D23" s="253"/>
      <c r="E23" s="253"/>
      <c r="F23" s="253"/>
      <c r="G23" s="253"/>
      <c r="H23" s="253"/>
      <c r="I23" s="253"/>
      <c r="J23" s="253"/>
      <c r="K23" s="253"/>
    </row>
    <row r="24" spans="2:15" ht="15" customHeight="1" x14ac:dyDescent="0.35">
      <c r="B24" s="58" t="s">
        <v>923</v>
      </c>
      <c r="C24" s="259" t="s">
        <v>924</v>
      </c>
      <c r="D24" s="253"/>
      <c r="E24" s="253"/>
      <c r="F24" s="253"/>
      <c r="G24" s="253"/>
      <c r="H24" s="253"/>
      <c r="I24" s="253"/>
      <c r="J24" s="253"/>
      <c r="K24" s="253"/>
    </row>
    <row r="25" spans="2:15" ht="15" customHeight="1" x14ac:dyDescent="0.35">
      <c r="B25" s="58" t="s">
        <v>925</v>
      </c>
      <c r="C25" s="259" t="s">
        <v>926</v>
      </c>
      <c r="D25" s="253"/>
      <c r="E25" s="253"/>
      <c r="F25" s="253"/>
      <c r="G25" s="253"/>
      <c r="H25" s="253"/>
      <c r="I25" s="253"/>
      <c r="J25" s="253"/>
      <c r="K25" s="253"/>
    </row>
    <row r="26" spans="2:15" ht="26" customHeight="1" x14ac:dyDescent="0.35">
      <c r="B26" s="58" t="s">
        <v>927</v>
      </c>
      <c r="C26" s="259" t="s">
        <v>928</v>
      </c>
      <c r="D26" s="253"/>
      <c r="E26" s="253"/>
      <c r="F26" s="253"/>
      <c r="G26" s="253"/>
      <c r="H26" s="253"/>
      <c r="I26" s="253"/>
      <c r="J26" s="253"/>
      <c r="K26" s="253"/>
    </row>
    <row r="27" spans="2:15" ht="15" customHeight="1" x14ac:dyDescent="0.35">
      <c r="B27" s="58" t="s">
        <v>929</v>
      </c>
      <c r="C27" s="259" t="s">
        <v>930</v>
      </c>
      <c r="D27" s="253"/>
      <c r="E27" s="253"/>
      <c r="F27" s="253"/>
      <c r="G27" s="253"/>
      <c r="H27" s="253"/>
      <c r="I27" s="253"/>
      <c r="J27" s="253"/>
      <c r="K27" s="253"/>
    </row>
    <row r="28" spans="2:15" x14ac:dyDescent="0.35">
      <c r="B28" s="58" t="s">
        <v>931</v>
      </c>
      <c r="C28" s="262" t="str">
        <f>IFERROR(CHOOSE(MATCH($M28,{"rev","ebitda","ebit","eps","dps"},0),"Revenue","EBITDA","EBIT","EPS","DPS")&amp;" "&amp;INDEX(Model!$L$5:$N$5,$N28)&amp;": our estimate is "&amp;IF(INDEX(CHOOSE($N28,$E$14:$E$18,$H$14:$H$18,$K$14:$K$18),MATCH($M28,{"rev","ebitda","ebit","eps","dps"},0))&gt;=0,"+","")&amp;FIXED(INDEX(CHOOSE($N28,$E$14:$E$18,$H$14:$H$18,$K$14:$K$18),MATCH($M28,{"rev","ebitda","ebit","eps","dps"},0))*100,1)&amp;"% vs. consensus","Check the metric and year in M:N")</f>
        <v>EBIT 2028E: our estimate is +6,0% vs. consensus</v>
      </c>
      <c r="D28" s="253"/>
      <c r="E28" s="253"/>
      <c r="F28" s="253"/>
      <c r="G28" s="253"/>
      <c r="H28" s="253"/>
      <c r="I28" s="253"/>
      <c r="J28" s="253"/>
      <c r="K28" s="253"/>
      <c r="M28" s="178" t="s">
        <v>932</v>
      </c>
      <c r="N28" s="166">
        <v>3</v>
      </c>
    </row>
    <row r="30" spans="2:15" ht="15" customHeight="1" x14ac:dyDescent="0.35">
      <c r="B30" s="226" t="s">
        <v>933</v>
      </c>
      <c r="C30" s="261" t="s">
        <v>934</v>
      </c>
      <c r="D30" s="253"/>
      <c r="E30" s="253"/>
      <c r="F30" s="253"/>
      <c r="G30" s="253"/>
      <c r="H30" s="253"/>
      <c r="I30" s="253"/>
      <c r="J30" s="253"/>
      <c r="K30" s="253"/>
    </row>
    <row r="31" spans="2:15" ht="15" customHeight="1" x14ac:dyDescent="0.35">
      <c r="B31" s="58" t="s">
        <v>923</v>
      </c>
      <c r="C31" s="259" t="s">
        <v>935</v>
      </c>
      <c r="D31" s="253"/>
      <c r="E31" s="253"/>
      <c r="F31" s="253"/>
      <c r="G31" s="253"/>
      <c r="H31" s="253"/>
      <c r="I31" s="253"/>
      <c r="J31" s="253"/>
      <c r="K31" s="253"/>
    </row>
    <row r="32" spans="2:15" ht="15" customHeight="1" x14ac:dyDescent="0.35">
      <c r="B32" s="58" t="s">
        <v>925</v>
      </c>
      <c r="C32" s="259" t="s">
        <v>936</v>
      </c>
      <c r="D32" s="253"/>
      <c r="E32" s="253"/>
      <c r="F32" s="253"/>
      <c r="G32" s="253"/>
      <c r="H32" s="253"/>
      <c r="I32" s="253"/>
      <c r="J32" s="253"/>
      <c r="K32" s="253"/>
    </row>
    <row r="33" spans="2:14" ht="15" customHeight="1" x14ac:dyDescent="0.35">
      <c r="B33" s="58" t="s">
        <v>927</v>
      </c>
      <c r="C33" s="259" t="s">
        <v>937</v>
      </c>
      <c r="D33" s="253"/>
      <c r="E33" s="253"/>
      <c r="F33" s="253"/>
      <c r="G33" s="253"/>
      <c r="H33" s="253"/>
      <c r="I33" s="253"/>
      <c r="J33" s="253"/>
      <c r="K33" s="253"/>
    </row>
    <row r="34" spans="2:14" ht="15" customHeight="1" x14ac:dyDescent="0.35">
      <c r="B34" s="58" t="s">
        <v>929</v>
      </c>
      <c r="C34" s="259" t="s">
        <v>938</v>
      </c>
      <c r="D34" s="253"/>
      <c r="E34" s="253"/>
      <c r="F34" s="253"/>
      <c r="G34" s="253"/>
      <c r="H34" s="253"/>
      <c r="I34" s="253"/>
      <c r="J34" s="253"/>
      <c r="K34" s="253"/>
    </row>
    <row r="35" spans="2:14" x14ac:dyDescent="0.35">
      <c r="B35" s="58" t="s">
        <v>931</v>
      </c>
      <c r="C35" s="262" t="str">
        <f>IFERROR(CHOOSE(MATCH($M35,{"rev","ebitda","ebit","eps","dps"},0),"Revenue","EBITDA","EBIT","EPS","DPS")&amp;" "&amp;INDEX(Model!$L$5:$N$5,$N35)&amp;": our estimate is "&amp;IF(INDEX(CHOOSE($N35,$E$14:$E$18,$H$14:$H$18,$K$14:$K$18),MATCH($M35,{"rev","ebitda","ebit","eps","dps"},0))&gt;=0,"+","")&amp;FIXED(INDEX(CHOOSE($N35,$E$14:$E$18,$H$14:$H$18,$K$14:$K$18),MATCH($M35,{"rev","ebitda","ebit","eps","dps"},0))*100,1)&amp;"% vs. consensus","Check the metric and year in M:N")</f>
        <v>Revenue 2028E: our estimate is +2,5% vs. consensus</v>
      </c>
      <c r="D35" s="253"/>
      <c r="E35" s="253"/>
      <c r="F35" s="253"/>
      <c r="G35" s="253"/>
      <c r="H35" s="253"/>
      <c r="I35" s="253"/>
      <c r="J35" s="253"/>
      <c r="K35" s="253"/>
      <c r="M35" s="178" t="s">
        <v>939</v>
      </c>
      <c r="N35" s="166">
        <v>3</v>
      </c>
    </row>
    <row r="37" spans="2:14" ht="15" customHeight="1" x14ac:dyDescent="0.35">
      <c r="B37" s="226" t="s">
        <v>940</v>
      </c>
      <c r="C37" s="261" t="s">
        <v>941</v>
      </c>
      <c r="D37" s="253"/>
      <c r="E37" s="253"/>
      <c r="F37" s="253"/>
      <c r="G37" s="253"/>
      <c r="H37" s="253"/>
      <c r="I37" s="253"/>
      <c r="J37" s="253"/>
      <c r="K37" s="253"/>
    </row>
    <row r="38" spans="2:14" ht="15" customHeight="1" x14ac:dyDescent="0.35">
      <c r="B38" s="58" t="s">
        <v>923</v>
      </c>
      <c r="C38" s="259" t="s">
        <v>942</v>
      </c>
      <c r="D38" s="253"/>
      <c r="E38" s="253"/>
      <c r="F38" s="253"/>
      <c r="G38" s="253"/>
      <c r="H38" s="253"/>
      <c r="I38" s="253"/>
      <c r="J38" s="253"/>
      <c r="K38" s="253"/>
    </row>
    <row r="39" spans="2:14" ht="15" customHeight="1" x14ac:dyDescent="0.35">
      <c r="B39" s="58" t="s">
        <v>925</v>
      </c>
      <c r="C39" s="259" t="s">
        <v>943</v>
      </c>
      <c r="D39" s="253"/>
      <c r="E39" s="253"/>
      <c r="F39" s="253"/>
      <c r="G39" s="253"/>
      <c r="H39" s="253"/>
      <c r="I39" s="253"/>
      <c r="J39" s="253"/>
      <c r="K39" s="253"/>
    </row>
    <row r="40" spans="2:14" ht="15" customHeight="1" x14ac:dyDescent="0.35">
      <c r="B40" s="58" t="s">
        <v>927</v>
      </c>
      <c r="C40" s="259" t="s">
        <v>944</v>
      </c>
      <c r="D40" s="253"/>
      <c r="E40" s="253"/>
      <c r="F40" s="253"/>
      <c r="G40" s="253"/>
      <c r="H40" s="253"/>
      <c r="I40" s="253"/>
      <c r="J40" s="253"/>
      <c r="K40" s="253"/>
    </row>
    <row r="41" spans="2:14" ht="15" customHeight="1" x14ac:dyDescent="0.35">
      <c r="B41" s="58" t="s">
        <v>929</v>
      </c>
      <c r="C41" s="259" t="s">
        <v>945</v>
      </c>
      <c r="D41" s="253"/>
      <c r="E41" s="253"/>
      <c r="F41" s="253"/>
      <c r="G41" s="253"/>
      <c r="H41" s="253"/>
      <c r="I41" s="253"/>
      <c r="J41" s="253"/>
      <c r="K41" s="253"/>
    </row>
    <row r="42" spans="2:14" x14ac:dyDescent="0.35">
      <c r="B42" s="58" t="s">
        <v>931</v>
      </c>
      <c r="C42" s="262" t="str">
        <f>IFERROR(CHOOSE(MATCH($M42,{"rev","ebitda","ebit","eps","dps"},0),"Revenue","EBITDA","EBIT","EPS","DPS")&amp;" "&amp;INDEX(Model!$L$5:$N$5,$N42)&amp;": our estimate is "&amp;IF(INDEX(CHOOSE($N42,$E$14:$E$18,$H$14:$H$18,$K$14:$K$18),MATCH($M42,{"rev","ebitda","ebit","eps","dps"},0))&gt;=0,"+","")&amp;FIXED(INDEX(CHOOSE($N42,$E$14:$E$18,$H$14:$H$18,$K$14:$K$18),MATCH($M42,{"rev","ebitda","ebit","eps","dps"},0))*100,1)&amp;"% vs. consensus","Check the metric and year in M:N")</f>
        <v>EPS 2028E: our estimate is +8,5% vs. consensus</v>
      </c>
      <c r="D42" s="253"/>
      <c r="E42" s="253"/>
      <c r="F42" s="253"/>
      <c r="G42" s="253"/>
      <c r="H42" s="253"/>
      <c r="I42" s="253"/>
      <c r="J42" s="253"/>
      <c r="K42" s="253"/>
      <c r="M42" s="178" t="s">
        <v>946</v>
      </c>
      <c r="N42" s="166">
        <v>3</v>
      </c>
    </row>
    <row r="44" spans="2:14" x14ac:dyDescent="0.35">
      <c r="B44" s="31" t="s">
        <v>947</v>
      </c>
      <c r="C44" s="31"/>
      <c r="D44" s="31"/>
      <c r="E44" s="31"/>
      <c r="F44" s="31"/>
      <c r="G44" s="31"/>
      <c r="H44" s="31"/>
      <c r="I44" s="31"/>
      <c r="J44" s="31"/>
      <c r="K44" s="31"/>
    </row>
    <row r="45" spans="2:14" x14ac:dyDescent="0.35">
      <c r="B45" s="40" t="s">
        <v>948</v>
      </c>
      <c r="C45" s="221">
        <f>$E$16</f>
        <v>1.5424627516732015E-2</v>
      </c>
      <c r="D45" s="221">
        <f>$H$16</f>
        <v>3.4922419079928213E-2</v>
      </c>
      <c r="E45" s="221">
        <f>$K$16</f>
        <v>5.9655964825489516E-2</v>
      </c>
    </row>
    <row r="46" spans="2:14" x14ac:dyDescent="0.35">
      <c r="B46" s="40" t="s">
        <v>949</v>
      </c>
      <c r="C46" s="221">
        <f>$E$17</f>
        <v>2.0452802152760352E-2</v>
      </c>
      <c r="D46" s="221">
        <f>$H$17</f>
        <v>5.0090068743852578E-2</v>
      </c>
      <c r="E46" s="221">
        <f>$K$17</f>
        <v>8.5355521706798276E-2</v>
      </c>
    </row>
  </sheetData>
  <mergeCells count="22">
    <mergeCell ref="C30:K30"/>
    <mergeCell ref="C33:K33"/>
    <mergeCell ref="C42:K42"/>
    <mergeCell ref="C26:K26"/>
    <mergeCell ref="F12:H12"/>
    <mergeCell ref="C35:K35"/>
    <mergeCell ref="C25:K25"/>
    <mergeCell ref="C41:K41"/>
    <mergeCell ref="C40:K40"/>
    <mergeCell ref="C5:G5"/>
    <mergeCell ref="C31:K31"/>
    <mergeCell ref="I12:K12"/>
    <mergeCell ref="C12:E12"/>
    <mergeCell ref="C27:K27"/>
    <mergeCell ref="C23:K23"/>
    <mergeCell ref="C39:K39"/>
    <mergeCell ref="C32:K32"/>
    <mergeCell ref="C38:K38"/>
    <mergeCell ref="C37:K37"/>
    <mergeCell ref="C28:K28"/>
    <mergeCell ref="C34:K34"/>
    <mergeCell ref="C24:K24"/>
  </mergeCells>
  <conditionalFormatting sqref="E14:E19">
    <cfRule type="cellIs" dxfId="20" priority="1" operator="greaterThan">
      <formula>0.02</formula>
    </cfRule>
    <cfRule type="cellIs" dxfId="19" priority="2" operator="lessThan">
      <formula>-0.02</formula>
    </cfRule>
  </conditionalFormatting>
  <conditionalFormatting sqref="H14:H19">
    <cfRule type="cellIs" dxfId="18" priority="3" operator="greaterThan">
      <formula>0.02</formula>
    </cfRule>
    <cfRule type="cellIs" dxfId="17" priority="4" operator="lessThan">
      <formula>-0.02</formula>
    </cfRule>
  </conditionalFormatting>
  <conditionalFormatting sqref="K14:K19">
    <cfRule type="cellIs" dxfId="16" priority="5" operator="greaterThan">
      <formula>0.02</formula>
    </cfRule>
    <cfRule type="cellIs" dxfId="15" priority="6" operator="lessThan">
      <formula>-0.02</formula>
    </cfRule>
  </conditionalFormatting>
  <printOptions horizontalCentered="1"/>
  <pageMargins left="0.4" right="0.4" top="1" bottom="1" header="0.5" footer="0.5"/>
  <pageSetup paperSize="9"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4F7FA0"/>
    <pageSetUpPr fitToPage="1"/>
  </sheetPr>
  <dimension ref="B1:K34"/>
  <sheetViews>
    <sheetView showGridLines="0" zoomScale="90" workbookViewId="0">
      <pane ySplit="3" topLeftCell="A4" activePane="bottomLeft" state="frozen"/>
      <selection pane="bottomLeft"/>
    </sheetView>
  </sheetViews>
  <sheetFormatPr defaultRowHeight="14.5" x14ac:dyDescent="0.35"/>
  <cols>
    <col min="1" max="1" width="2" customWidth="1"/>
    <col min="2" max="2" width="36" customWidth="1"/>
    <col min="3" max="3" width="12" customWidth="1"/>
    <col min="4" max="4" width="14" customWidth="1"/>
    <col min="5" max="6" width="13" customWidth="1"/>
    <col min="7" max="7" width="16" customWidth="1"/>
    <col min="8" max="8" width="12" customWidth="1"/>
    <col min="9" max="9" width="13" customWidth="1"/>
    <col min="10" max="10" width="15" customWidth="1"/>
    <col min="11" max="11" width="38" customWidth="1"/>
  </cols>
  <sheetData>
    <row r="1" spans="2:11" ht="24" customHeight="1" x14ac:dyDescent="0.4">
      <c r="B1" s="30" t="s">
        <v>950</v>
      </c>
      <c r="K1" s="54" t="str">
        <f>Inputs!$C$6&amp;"  |  Scenario: "&amp;Inputs!$C$53</f>
        <v>Example Company ASA  |  Scenario: Base</v>
      </c>
    </row>
    <row r="2" spans="2:11" x14ac:dyDescent="0.35">
      <c r="B2" s="15" t="s">
        <v>951</v>
      </c>
    </row>
    <row r="4" spans="2:11" x14ac:dyDescent="0.35">
      <c r="B4" s="31" t="s">
        <v>952</v>
      </c>
      <c r="C4" s="31"/>
      <c r="D4" s="31"/>
      <c r="E4" s="31"/>
      <c r="F4" s="31"/>
      <c r="G4" s="31"/>
      <c r="H4" s="31"/>
      <c r="I4" s="31"/>
      <c r="J4" s="31"/>
      <c r="K4" s="31"/>
    </row>
    <row r="5" spans="2:11" x14ac:dyDescent="0.35">
      <c r="B5" s="18" t="s">
        <v>757</v>
      </c>
      <c r="C5" s="86" t="s">
        <v>953</v>
      </c>
      <c r="D5" s="86" t="s">
        <v>954</v>
      </c>
      <c r="E5" s="86" t="s">
        <v>955</v>
      </c>
      <c r="F5" s="86" t="s">
        <v>956</v>
      </c>
      <c r="G5" s="86" t="s">
        <v>957</v>
      </c>
      <c r="H5" s="85"/>
      <c r="I5" s="85"/>
      <c r="J5" s="85"/>
      <c r="K5" s="85"/>
    </row>
    <row r="6" spans="2:11" x14ac:dyDescent="0.35">
      <c r="B6" s="227" t="s">
        <v>155</v>
      </c>
      <c r="C6" s="228">
        <f>Drivers!$E$53</f>
        <v>0.25</v>
      </c>
      <c r="D6" s="229">
        <f>Sensitivity!$I$42</f>
        <v>62.143148555295909</v>
      </c>
      <c r="E6" s="230">
        <f>D6/Inputs!$C$27-1</f>
        <v>-0.49062992987462373</v>
      </c>
      <c r="F6" s="231">
        <f>Sensitivity!$L$42</f>
        <v>77</v>
      </c>
      <c r="G6" s="232" t="str">
        <f>Sensitivity!$N$42</f>
        <v>SELL</v>
      </c>
      <c r="H6" s="63"/>
      <c r="I6" s="63"/>
      <c r="J6" s="63"/>
      <c r="K6" s="63"/>
    </row>
    <row r="7" spans="2:11" ht="15" customHeight="1" x14ac:dyDescent="0.35">
      <c r="B7" s="58" t="s">
        <v>958</v>
      </c>
      <c r="C7" s="259" t="s">
        <v>959</v>
      </c>
      <c r="D7" s="253"/>
      <c r="E7" s="253"/>
      <c r="F7" s="253"/>
      <c r="G7" s="253"/>
      <c r="H7" s="253"/>
      <c r="I7" s="253"/>
      <c r="J7" s="253"/>
      <c r="K7" s="253"/>
    </row>
    <row r="8" spans="2:11" ht="15" customHeight="1" x14ac:dyDescent="0.35">
      <c r="B8" s="58" t="s">
        <v>960</v>
      </c>
      <c r="C8" s="259" t="s">
        <v>961</v>
      </c>
      <c r="D8" s="253"/>
      <c r="E8" s="253"/>
      <c r="F8" s="253"/>
      <c r="G8" s="253"/>
      <c r="H8" s="253"/>
      <c r="I8" s="253"/>
      <c r="J8" s="253"/>
      <c r="K8" s="253"/>
    </row>
    <row r="9" spans="2:11" ht="15" customHeight="1" x14ac:dyDescent="0.35">
      <c r="B9" s="58" t="s">
        <v>962</v>
      </c>
      <c r="C9" s="259" t="s">
        <v>963</v>
      </c>
      <c r="D9" s="253"/>
      <c r="E9" s="253"/>
      <c r="F9" s="253"/>
      <c r="G9" s="253"/>
      <c r="H9" s="253"/>
      <c r="I9" s="253"/>
      <c r="J9" s="253"/>
      <c r="K9" s="253"/>
    </row>
    <row r="11" spans="2:11" x14ac:dyDescent="0.35">
      <c r="B11" s="233" t="s">
        <v>158</v>
      </c>
      <c r="C11" s="228">
        <f>Drivers!$F$53</f>
        <v>0.5</v>
      </c>
      <c r="D11" s="229">
        <f>Sensitivity!$I$43</f>
        <v>139.11050532301047</v>
      </c>
      <c r="E11" s="230">
        <f>D11/Inputs!$C$27-1</f>
        <v>0.14025004363123328</v>
      </c>
      <c r="F11" s="231">
        <f>Sensitivity!$L$43</f>
        <v>146</v>
      </c>
      <c r="G11" s="232" t="str">
        <f>Sensitivity!$N$43</f>
        <v>BUY</v>
      </c>
      <c r="H11" s="63"/>
      <c r="I11" s="63"/>
      <c r="J11" s="63"/>
      <c r="K11" s="63"/>
    </row>
    <row r="12" spans="2:11" ht="15" customHeight="1" x14ac:dyDescent="0.35">
      <c r="B12" s="58" t="s">
        <v>958</v>
      </c>
      <c r="C12" s="259" t="s">
        <v>964</v>
      </c>
      <c r="D12" s="253"/>
      <c r="E12" s="253"/>
      <c r="F12" s="253"/>
      <c r="G12" s="253"/>
      <c r="H12" s="253"/>
      <c r="I12" s="253"/>
      <c r="J12" s="253"/>
      <c r="K12" s="253"/>
    </row>
    <row r="13" spans="2:11" ht="15" customHeight="1" x14ac:dyDescent="0.35">
      <c r="B13" s="58" t="s">
        <v>960</v>
      </c>
      <c r="C13" s="259" t="s">
        <v>965</v>
      </c>
      <c r="D13" s="253"/>
      <c r="E13" s="253"/>
      <c r="F13" s="253"/>
      <c r="G13" s="253"/>
      <c r="H13" s="253"/>
      <c r="I13" s="253"/>
      <c r="J13" s="253"/>
      <c r="K13" s="253"/>
    </row>
    <row r="14" spans="2:11" ht="15" customHeight="1" x14ac:dyDescent="0.35">
      <c r="B14" s="58" t="s">
        <v>962</v>
      </c>
      <c r="C14" s="259" t="s">
        <v>966</v>
      </c>
      <c r="D14" s="253"/>
      <c r="E14" s="253"/>
      <c r="F14" s="253"/>
      <c r="G14" s="253"/>
      <c r="H14" s="253"/>
      <c r="I14" s="253"/>
      <c r="J14" s="253"/>
      <c r="K14" s="253"/>
    </row>
    <row r="16" spans="2:11" x14ac:dyDescent="0.35">
      <c r="B16" s="234" t="s">
        <v>161</v>
      </c>
      <c r="C16" s="228">
        <f>Drivers!$G$53</f>
        <v>0.25</v>
      </c>
      <c r="D16" s="229">
        <f>Sensitivity!$I$44</f>
        <v>201.49065699573467</v>
      </c>
      <c r="E16" s="230">
        <f>D16/Inputs!$C$27-1</f>
        <v>0.65156276226012033</v>
      </c>
      <c r="F16" s="231">
        <f>Sensitivity!$L$44</f>
        <v>200</v>
      </c>
      <c r="G16" s="232" t="str">
        <f>Sensitivity!$N$44</f>
        <v>BUY</v>
      </c>
      <c r="H16" s="63"/>
      <c r="I16" s="63"/>
      <c r="J16" s="63"/>
      <c r="K16" s="63"/>
    </row>
    <row r="17" spans="2:11" ht="15" customHeight="1" x14ac:dyDescent="0.35">
      <c r="B17" s="58" t="s">
        <v>958</v>
      </c>
      <c r="C17" s="259" t="s">
        <v>967</v>
      </c>
      <c r="D17" s="253"/>
      <c r="E17" s="253"/>
      <c r="F17" s="253"/>
      <c r="G17" s="253"/>
      <c r="H17" s="253"/>
      <c r="I17" s="253"/>
      <c r="J17" s="253"/>
      <c r="K17" s="253"/>
    </row>
    <row r="18" spans="2:11" ht="15" customHeight="1" x14ac:dyDescent="0.35">
      <c r="B18" s="58" t="s">
        <v>960</v>
      </c>
      <c r="C18" s="259" t="s">
        <v>968</v>
      </c>
      <c r="D18" s="253"/>
      <c r="E18" s="253"/>
      <c r="F18" s="253"/>
      <c r="G18" s="253"/>
      <c r="H18" s="253"/>
      <c r="I18" s="253"/>
      <c r="J18" s="253"/>
      <c r="K18" s="253"/>
    </row>
    <row r="19" spans="2:11" ht="15" customHeight="1" x14ac:dyDescent="0.35">
      <c r="B19" s="58" t="s">
        <v>962</v>
      </c>
      <c r="C19" s="259" t="s">
        <v>969</v>
      </c>
      <c r="D19" s="253"/>
      <c r="E19" s="253"/>
      <c r="F19" s="253"/>
      <c r="G19" s="253"/>
      <c r="H19" s="253"/>
      <c r="I19" s="253"/>
      <c r="J19" s="253"/>
      <c r="K19" s="253"/>
    </row>
    <row r="22" spans="2:11" x14ac:dyDescent="0.35">
      <c r="B22" s="31" t="s">
        <v>970</v>
      </c>
      <c r="C22" s="31"/>
      <c r="D22" s="31"/>
      <c r="E22" s="31"/>
      <c r="F22" s="31"/>
      <c r="G22" s="31"/>
      <c r="H22" s="31"/>
      <c r="I22" s="31"/>
      <c r="J22" s="31"/>
      <c r="K22" s="31"/>
    </row>
    <row r="23" spans="2:11" ht="26" customHeight="1" x14ac:dyDescent="0.35">
      <c r="B23" s="196" t="s">
        <v>971</v>
      </c>
      <c r="C23" s="162" t="s">
        <v>972</v>
      </c>
      <c r="D23" s="197" t="s">
        <v>973</v>
      </c>
      <c r="E23" s="197" t="s">
        <v>974</v>
      </c>
      <c r="F23" s="197" t="s">
        <v>975</v>
      </c>
      <c r="G23" s="197" t="s">
        <v>976</v>
      </c>
      <c r="H23" s="197" t="s">
        <v>977</v>
      </c>
      <c r="I23" s="162" t="s">
        <v>978</v>
      </c>
      <c r="J23" s="162" t="s">
        <v>979</v>
      </c>
      <c r="K23" s="196" t="s">
        <v>905</v>
      </c>
    </row>
    <row r="24" spans="2:11" x14ac:dyDescent="0.35">
      <c r="B24" s="218" t="s">
        <v>980</v>
      </c>
      <c r="C24" s="178" t="s">
        <v>981</v>
      </c>
      <c r="D24" s="87">
        <v>1.4999999999999999E-2</v>
      </c>
      <c r="E24" s="207">
        <f>Model!$K$63</f>
        <v>4.4271417983434161E-2</v>
      </c>
      <c r="F24" s="21" t="str">
        <f>Model!$K$5</f>
        <v>2025A</v>
      </c>
      <c r="G24" s="207">
        <f>Model!$L$63</f>
        <v>3.3302197921405735E-2</v>
      </c>
      <c r="H24" s="87">
        <v>0.01</v>
      </c>
      <c r="I24" s="170" t="str">
        <f>IF(ISNUMBER(E24),IF(C24="below",IF(E24&lt;D24,"BROKEN",IF(E24&lt;D24+H24,"WATCH","ON TRACK")),IF(E24&gt;D24,"BROKEN",IF(E24&gt;D24-H24,"WATCH","ON TRACK"))),"n.a.")</f>
        <v>ON TRACK</v>
      </c>
      <c r="J24" s="170" t="str">
        <f>IF(ISNUMBER(G24),IF(C24="below",IF(G24&lt;D24,"INCONSISTENT","OK"),IF(G24&gt;D24,"INCONSISTENT","OK")),"n.a.")</f>
        <v>OK</v>
      </c>
      <c r="K24" s="218" t="s">
        <v>982</v>
      </c>
    </row>
    <row r="25" spans="2:11" x14ac:dyDescent="0.35">
      <c r="B25" s="218" t="s">
        <v>983</v>
      </c>
      <c r="C25" s="178" t="s">
        <v>981</v>
      </c>
      <c r="D25" s="87">
        <v>-5.0000000000000001E-3</v>
      </c>
      <c r="E25" s="207">
        <f>Model!$K$62</f>
        <v>4.0411608883226258E-3</v>
      </c>
      <c r="F25" s="21" t="str">
        <f>Model!$K$5</f>
        <v>2025A</v>
      </c>
      <c r="G25" s="207">
        <f>Model!$L$62</f>
        <v>1.0011142815384913E-2</v>
      </c>
      <c r="H25" s="87">
        <v>5.0000000000000001E-3</v>
      </c>
      <c r="I25" s="170" t="str">
        <f>IF(ISNUMBER(E25),IF(C25="below",IF(E25&lt;D25,"BROKEN",IF(E25&lt;D25+H25,"WATCH","ON TRACK")),IF(E25&gt;D25,"BROKEN",IF(E25&gt;D25-H25,"WATCH","ON TRACK"))),"n.a.")</f>
        <v>ON TRACK</v>
      </c>
      <c r="J25" s="170" t="str">
        <f>IF(ISNUMBER(G25),IF(C25="below",IF(G25&lt;D25,"INCONSISTENT","OK"),IF(G25&gt;D25,"INCONSISTENT","OK")),"n.a.")</f>
        <v>OK</v>
      </c>
      <c r="K25" s="218" t="s">
        <v>982</v>
      </c>
    </row>
    <row r="26" spans="2:11" x14ac:dyDescent="0.35">
      <c r="B26" s="218" t="s">
        <v>333</v>
      </c>
      <c r="C26" s="178" t="s">
        <v>981</v>
      </c>
      <c r="D26" s="87">
        <v>0.16</v>
      </c>
      <c r="E26" s="207">
        <f>Model!$K$86</f>
        <v>0.17498619547211483</v>
      </c>
      <c r="F26" s="21" t="str">
        <f>Model!$K$5</f>
        <v>2025A</v>
      </c>
      <c r="G26" s="207">
        <f>Model!$L$86</f>
        <v>0.17455779077985198</v>
      </c>
      <c r="H26" s="87">
        <v>0.01</v>
      </c>
      <c r="I26" s="170" t="str">
        <f>IF(ISNUMBER(E26),IF(C26="below",IF(E26&lt;D26,"BROKEN",IF(E26&lt;D26+H26,"WATCH","ON TRACK")),IF(E26&gt;D26,"BROKEN",IF(E26&gt;D26-H26,"WATCH","ON TRACK"))),"n.a.")</f>
        <v>ON TRACK</v>
      </c>
      <c r="J26" s="170" t="str">
        <f>IF(ISNUMBER(G26),IF(C26="below",IF(G26&lt;D26,"INCONSISTENT","OK"),IF(G26&gt;D26,"INCONSISTENT","OK")),"n.a.")</f>
        <v>OK</v>
      </c>
      <c r="K26" s="218" t="s">
        <v>982</v>
      </c>
    </row>
    <row r="27" spans="2:11" x14ac:dyDescent="0.35">
      <c r="B27" s="218" t="s">
        <v>505</v>
      </c>
      <c r="C27" s="178" t="s">
        <v>981</v>
      </c>
      <c r="D27" s="87">
        <v>0.4</v>
      </c>
      <c r="E27" s="207">
        <f>Model!$K$127</f>
        <v>0.62123550176500242</v>
      </c>
      <c r="F27" s="21" t="str">
        <f>Model!$K$5</f>
        <v>2025A</v>
      </c>
      <c r="G27" s="207">
        <f>Model!$L$127</f>
        <v>0.48774767614458775</v>
      </c>
      <c r="H27" s="87">
        <v>0.1</v>
      </c>
      <c r="I27" s="170" t="str">
        <f>IF(ISNUMBER(E27),IF(C27="below",IF(E27&lt;D27,"BROKEN",IF(E27&lt;D27+H27,"WATCH","ON TRACK")),IF(E27&gt;D27,"BROKEN",IF(E27&gt;D27-H27,"WATCH","ON TRACK"))),"n.a.")</f>
        <v>ON TRACK</v>
      </c>
      <c r="J27" s="170" t="str">
        <f>IF(ISNUMBER(G27),IF(C27="below",IF(G27&lt;D27,"INCONSISTENT","OK"),IF(G27&gt;D27,"INCONSISTENT","OK")),"n.a.")</f>
        <v>OK</v>
      </c>
      <c r="K27" s="218" t="s">
        <v>982</v>
      </c>
    </row>
    <row r="28" spans="2:11" x14ac:dyDescent="0.35">
      <c r="B28" s="218" t="s">
        <v>346</v>
      </c>
      <c r="C28" s="178" t="s">
        <v>984</v>
      </c>
      <c r="D28" s="95">
        <v>1.5</v>
      </c>
      <c r="E28" s="235">
        <f>Model!$K$138</f>
        <v>0.83089594889897467</v>
      </c>
      <c r="F28" s="21" t="str">
        <f>Model!$K$5</f>
        <v>2025A</v>
      </c>
      <c r="G28" s="235">
        <f>Model!$L$138</f>
        <v>0.75</v>
      </c>
      <c r="H28" s="95">
        <v>0.25</v>
      </c>
      <c r="I28" s="170" t="str">
        <f>IF(ISNUMBER(E28),IF(C28="below",IF(E28&lt;D28,"BROKEN",IF(E28&lt;D28+H28,"WATCH","ON TRACK")),IF(E28&gt;D28,"BROKEN",IF(E28&gt;D28-H28,"WATCH","ON TRACK"))),"n.a.")</f>
        <v>ON TRACK</v>
      </c>
      <c r="J28" s="170" t="str">
        <f>IF(ISNUMBER(G28),IF(C28="below",IF(G28&lt;D28,"INCONSISTENT","OK"),IF(G28&gt;D28,"INCONSISTENT","OK")),"n.a.")</f>
        <v>OK</v>
      </c>
      <c r="K28" s="218" t="s">
        <v>982</v>
      </c>
    </row>
    <row r="30" spans="2:11" x14ac:dyDescent="0.35">
      <c r="B30" s="11" t="s">
        <v>985</v>
      </c>
      <c r="C30" s="236">
        <f>COUNTIF(I24:I28,"BROKEN")</f>
        <v>0</v>
      </c>
    </row>
    <row r="31" spans="2:11" x14ac:dyDescent="0.35">
      <c r="B31" s="40" t="s">
        <v>986</v>
      </c>
      <c r="C31" s="236">
        <f>COUNTIF(I24:I28,"WATCH")</f>
        <v>0</v>
      </c>
    </row>
    <row r="32" spans="2:11" x14ac:dyDescent="0.35">
      <c r="B32" s="40" t="s">
        <v>987</v>
      </c>
      <c r="C32" s="236">
        <f>COUNTIF(J24:J28,"INCONSISTENT")</f>
        <v>0</v>
      </c>
    </row>
    <row r="34" spans="2:2" x14ac:dyDescent="0.35">
      <c r="B34" s="15" t="s">
        <v>988</v>
      </c>
    </row>
  </sheetData>
  <mergeCells count="9">
    <mergeCell ref="C7:K7"/>
    <mergeCell ref="C19:K19"/>
    <mergeCell ref="C14:K14"/>
    <mergeCell ref="C13:K13"/>
    <mergeCell ref="C9:K9"/>
    <mergeCell ref="C18:K18"/>
    <mergeCell ref="C17:K17"/>
    <mergeCell ref="C8:K8"/>
    <mergeCell ref="C12:K12"/>
  </mergeCells>
  <conditionalFormatting sqref="I24:I28">
    <cfRule type="cellIs" dxfId="14" priority="1" operator="equal">
      <formula>"ON TRACK"</formula>
    </cfRule>
    <cfRule type="cellIs" dxfId="13" priority="2" operator="equal">
      <formula>"WATCH"</formula>
    </cfRule>
    <cfRule type="cellIs" dxfId="12" priority="3" operator="equal">
      <formula>"BROKEN"</formula>
    </cfRule>
  </conditionalFormatting>
  <conditionalFormatting sqref="J24:J28">
    <cfRule type="cellIs" dxfId="11" priority="4" operator="equal">
      <formula>"OK"</formula>
    </cfRule>
    <cfRule type="cellIs" dxfId="10" priority="5" operator="equal">
      <formula>"INCONSISTENT"</formula>
    </cfRule>
  </conditionalFormatting>
  <dataValidations count="1">
    <dataValidation type="list" sqref="C24 C25 C26 C27 C28" xr:uid="{00000000-0002-0000-1400-000000000000}">
      <formula1>"below,above"</formula1>
    </dataValidation>
  </dataValidations>
  <printOptions horizontalCentered="1"/>
  <pageMargins left="0.4" right="0.4" top="1" bottom="1" header="0.5" footer="0.5"/>
  <pageSetup paperSize="9"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81B0C0"/>
    <pageSetUpPr fitToPage="1"/>
  </sheetPr>
  <dimension ref="B2:N22"/>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Example Company ASA</v>
      </c>
    </row>
    <row r="9" spans="2:14" ht="22" customHeight="1" x14ac:dyDescent="0.4">
      <c r="D9" s="34" t="s">
        <v>146</v>
      </c>
    </row>
    <row r="12" spans="2:14" ht="30" customHeight="1" x14ac:dyDescent="0.6">
      <c r="D12" s="3" t="s">
        <v>989</v>
      </c>
    </row>
    <row r="14" spans="2:14" x14ac:dyDescent="0.35">
      <c r="D14" s="4" t="s">
        <v>72</v>
      </c>
    </row>
    <row r="17" spans="4:6" ht="16" customHeight="1" x14ac:dyDescent="0.35">
      <c r="D17" s="35" t="s">
        <v>73</v>
      </c>
      <c r="E17" s="36" t="s">
        <v>73</v>
      </c>
      <c r="F17" s="37" t="s">
        <v>74</v>
      </c>
    </row>
    <row r="18" spans="4:6" ht="16" customHeight="1" x14ac:dyDescent="0.35">
      <c r="D18" s="35" t="s">
        <v>75</v>
      </c>
      <c r="E18" s="36" t="s">
        <v>76</v>
      </c>
      <c r="F18" s="37" t="s">
        <v>77</v>
      </c>
    </row>
    <row r="19" spans="4:6" ht="16" customHeight="1" x14ac:dyDescent="0.35">
      <c r="D19" s="35" t="s">
        <v>78</v>
      </c>
      <c r="E19" s="36" t="s">
        <v>79</v>
      </c>
      <c r="F19" s="37" t="s">
        <v>80</v>
      </c>
    </row>
    <row r="22" spans="4:6" x14ac:dyDescent="0.35">
      <c r="D22" s="38" t="s">
        <v>147</v>
      </c>
    </row>
  </sheetData>
  <hyperlinks>
    <hyperlink ref="D17" location="'Dashboard'!A1" display="Dashboard" xr:uid="{00000000-0004-0000-1500-000000000000}"/>
    <hyperlink ref="D18" location="'Deck_Feed'!A1" display="Deck_Feed" xr:uid="{00000000-0004-0000-1500-000001000000}"/>
    <hyperlink ref="D19" location="'Checks'!A1" display="Checks" xr:uid="{00000000-0004-0000-1500-000002000000}"/>
    <hyperlink ref="D22" location="'Cover'!A1" display="← Back to cover" xr:uid="{00000000-0004-0000-1500-000003000000}"/>
  </hyperlinks>
  <printOptions horizontalCentered="1"/>
  <pageMargins left="0.4" right="0.4" top="1" bottom="1" header="0.5" footer="0.5"/>
  <pageSetup paperSize="9"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81B0C0"/>
    <pageSetUpPr fitToPage="1"/>
  </sheetPr>
  <dimension ref="B1:N44"/>
  <sheetViews>
    <sheetView showGridLines="0" zoomScale="85" workbookViewId="0"/>
  </sheetViews>
  <sheetFormatPr defaultRowHeight="14.5" x14ac:dyDescent="0.35"/>
  <cols>
    <col min="1" max="1" width="2" customWidth="1"/>
    <col min="2" max="2" width="34" customWidth="1"/>
    <col min="3" max="3" width="3" customWidth="1"/>
    <col min="4" max="4" width="14" customWidth="1"/>
    <col min="5" max="5" width="3" customWidth="1"/>
    <col min="6" max="6" width="30" customWidth="1"/>
    <col min="7" max="14" width="10" customWidth="1"/>
  </cols>
  <sheetData>
    <row r="1" spans="2:14" ht="24" customHeight="1" x14ac:dyDescent="0.4">
      <c r="B1" s="30" t="str">
        <f>Inputs!$C$6&amp;" ("&amp;Inputs!$C$7&amp;") – equity research summary"</f>
        <v>Example Company ASA (EXMPL) – equity research summary</v>
      </c>
    </row>
    <row r="2" spans="2:14" x14ac:dyDescent="0.35">
      <c r="B2" s="15" t="str">
        <f>"Valuation date "&amp;TEXT(DAY(Inputs!$C$21),"00")&amp;"."&amp;TEXT(MONTH(Inputs!$C$21),"00")&amp;"."&amp;YEAR(Inputs!$C$21)&amp;"  |  Scenario: "&amp;Inputs!$C$53&amp;"  |  Figures in "&amp;Inputs!$C$11</f>
        <v>Valuation date 16.09.2026  |  Scenario: Base  |  Figures in NOKm</v>
      </c>
    </row>
    <row r="4" spans="2:14" x14ac:dyDescent="0.35">
      <c r="B4" s="31" t="s">
        <v>990</v>
      </c>
      <c r="C4" s="31"/>
      <c r="D4" s="31"/>
      <c r="F4" s="31" t="s">
        <v>991</v>
      </c>
      <c r="G4" s="31"/>
      <c r="H4" s="31"/>
      <c r="I4" s="31"/>
      <c r="J4" s="31"/>
      <c r="K4" s="31"/>
      <c r="L4" s="31"/>
      <c r="M4" s="31"/>
      <c r="N4" s="31"/>
    </row>
    <row r="5" spans="2:14" ht="15.5" x14ac:dyDescent="0.35">
      <c r="B5" s="18" t="s">
        <v>738</v>
      </c>
      <c r="C5" s="85"/>
      <c r="D5" s="237" t="str">
        <f>DCF!$E$114</f>
        <v>BUY</v>
      </c>
      <c r="F5" s="238" t="str">
        <f>Inputs!$C$11</f>
        <v>NOKm</v>
      </c>
      <c r="G5" s="201" t="str">
        <f>Model!I5</f>
        <v>2023A</v>
      </c>
      <c r="H5" s="201" t="str">
        <f>Model!J5</f>
        <v>2024A</v>
      </c>
      <c r="I5" s="201" t="str">
        <f>Model!K5</f>
        <v>2025A</v>
      </c>
      <c r="J5" s="201" t="str">
        <f>Model!L5</f>
        <v>2026E</v>
      </c>
      <c r="K5" s="201" t="str">
        <f>Model!M5</f>
        <v>2027E</v>
      </c>
      <c r="L5" s="201" t="str">
        <f>Model!N5</f>
        <v>2028E</v>
      </c>
      <c r="M5" s="201" t="str">
        <f>Model!O5</f>
        <v>2029E</v>
      </c>
      <c r="N5" s="201" t="str">
        <f>Model!P5</f>
        <v>2030E</v>
      </c>
    </row>
    <row r="6" spans="2:14" x14ac:dyDescent="0.35">
      <c r="B6" s="33" t="s">
        <v>732</v>
      </c>
      <c r="C6" s="85"/>
      <c r="D6" s="239">
        <f>DCF!$E$109</f>
        <v>146</v>
      </c>
      <c r="F6" s="11" t="s">
        <v>455</v>
      </c>
      <c r="G6" s="240">
        <f>Model!I67</f>
        <v>4687</v>
      </c>
      <c r="H6" s="240">
        <f>Model!J67</f>
        <v>5045</v>
      </c>
      <c r="I6" s="240">
        <f>Model!K67</f>
        <v>5433</v>
      </c>
      <c r="J6" s="240">
        <f>Model!L67</f>
        <v>5726.4479591482213</v>
      </c>
      <c r="K6" s="240">
        <f>Model!M67</f>
        <v>6083.8427205928429</v>
      </c>
      <c r="L6" s="240">
        <f>Model!N67</f>
        <v>6479.0281577074584</v>
      </c>
      <c r="M6" s="240">
        <f>Model!O67</f>
        <v>6875.8850742664126</v>
      </c>
      <c r="N6" s="240">
        <f>Model!P67</f>
        <v>7257.9391223272778</v>
      </c>
    </row>
    <row r="7" spans="2:14" x14ac:dyDescent="0.35">
      <c r="B7" s="33" t="s">
        <v>867</v>
      </c>
      <c r="C7" s="85"/>
      <c r="D7" s="241">
        <f>Inputs!$C$27</f>
        <v>122</v>
      </c>
      <c r="F7" s="65" t="s">
        <v>992</v>
      </c>
      <c r="G7" s="142">
        <f>Model!I59</f>
        <v>9.9718442045987787E-2</v>
      </c>
      <c r="H7" s="142">
        <f>Model!J59</f>
        <v>7.6381480691273707E-2</v>
      </c>
      <c r="I7" s="142">
        <f>Model!K59</f>
        <v>7.6907829534192285E-2</v>
      </c>
      <c r="J7" s="142">
        <f>Model!L59</f>
        <v>5.4012140465345304E-2</v>
      </c>
      <c r="K7" s="142">
        <f>Model!M59</f>
        <v>6.2411247599599706E-2</v>
      </c>
      <c r="L7" s="142">
        <f>Model!N59</f>
        <v>6.4956550532934587E-2</v>
      </c>
      <c r="M7" s="142">
        <f>Model!O59</f>
        <v>6.1252537710744903E-2</v>
      </c>
      <c r="N7" s="142">
        <f>Model!P59</f>
        <v>5.5564344652986541E-2</v>
      </c>
    </row>
    <row r="8" spans="2:14" x14ac:dyDescent="0.35">
      <c r="B8" s="33" t="s">
        <v>765</v>
      </c>
      <c r="C8" s="85"/>
      <c r="D8" s="242">
        <f>DCF!$E$110</f>
        <v>0.19672131147540983</v>
      </c>
      <c r="F8" s="11" t="s">
        <v>993</v>
      </c>
      <c r="G8" s="240">
        <f>Model!I78</f>
        <v>1298.2999999999997</v>
      </c>
      <c r="H8" s="240">
        <f>Model!J78</f>
        <v>1453</v>
      </c>
      <c r="I8" s="240">
        <f>Model!K78</f>
        <v>1613.6</v>
      </c>
      <c r="J8" s="240">
        <f>Model!L78</f>
        <v>1701.3324177709658</v>
      </c>
      <c r="K8" s="240">
        <f>Model!M78</f>
        <v>1819.4507179097827</v>
      </c>
      <c r="L8" s="240">
        <f>Model!N78</f>
        <v>1956.305912669912</v>
      </c>
      <c r="M8" s="240">
        <f>Model!O78</f>
        <v>2094.0811129049489</v>
      </c>
      <c r="N8" s="240">
        <f>Model!P78</f>
        <v>2226.7978018152216</v>
      </c>
    </row>
    <row r="9" spans="2:14" x14ac:dyDescent="0.35">
      <c r="B9" s="33" t="s">
        <v>994</v>
      </c>
      <c r="C9" s="85"/>
      <c r="D9" s="243">
        <f>DCF!$E$112</f>
        <v>0.24239075655536124</v>
      </c>
      <c r="F9" s="65" t="s">
        <v>995</v>
      </c>
      <c r="G9" s="142">
        <f>Model!I79</f>
        <v>0.27700021335609126</v>
      </c>
      <c r="H9" s="142">
        <f>Model!J79</f>
        <v>0.28800792864222002</v>
      </c>
      <c r="I9" s="142">
        <f>Model!K79</f>
        <v>0.29699981593962821</v>
      </c>
      <c r="J9" s="142">
        <f>Model!L79</f>
        <v>0.29710082583620123</v>
      </c>
      <c r="K9" s="142">
        <f>Model!M79</f>
        <v>0.29906274725860854</v>
      </c>
      <c r="L9" s="142">
        <f>Model!N79</f>
        <v>0.30194434490035182</v>
      </c>
      <c r="M9" s="142">
        <f>Model!O79</f>
        <v>0.30455440867419764</v>
      </c>
      <c r="N9" s="142">
        <f>Model!P79</f>
        <v>0.30680855326617745</v>
      </c>
    </row>
    <row r="10" spans="2:14" x14ac:dyDescent="0.35">
      <c r="B10" s="33" t="s">
        <v>996</v>
      </c>
      <c r="C10" s="85"/>
      <c r="D10" s="243">
        <f>DCF!$E$113</f>
        <v>0.14772872415974991</v>
      </c>
      <c r="F10" s="11" t="s">
        <v>555</v>
      </c>
      <c r="G10" s="240">
        <f>Model!I85</f>
        <v>712.39999999999975</v>
      </c>
      <c r="H10" s="240">
        <f>Model!J85</f>
        <v>827.40000000000009</v>
      </c>
      <c r="I10" s="240">
        <f>Model!K85</f>
        <v>950.69999999999993</v>
      </c>
      <c r="J10" s="240">
        <f>Model!L85</f>
        <v>999.59610476470561</v>
      </c>
      <c r="K10" s="240">
        <f>Model!M85</f>
        <v>1075.1811604233239</v>
      </c>
      <c r="L10" s="240">
        <f>Model!N85</f>
        <v>1167.7030689374428</v>
      </c>
      <c r="M10" s="240">
        <f>Model!O85</f>
        <v>1261.1225000249665</v>
      </c>
      <c r="N10" s="240">
        <f>Model!P85</f>
        <v>1351.360680543163</v>
      </c>
    </row>
    <row r="11" spans="2:14" x14ac:dyDescent="0.35">
      <c r="B11" s="33" t="s">
        <v>705</v>
      </c>
      <c r="C11" s="85"/>
      <c r="D11" s="241">
        <f>DCF!$E$83</f>
        <v>139.11050532301047</v>
      </c>
      <c r="F11" s="65" t="s">
        <v>995</v>
      </c>
      <c r="G11" s="142">
        <f>Model!I86</f>
        <v>0.15199487945380835</v>
      </c>
      <c r="H11" s="142">
        <f>Model!J86</f>
        <v>0.16400396432111003</v>
      </c>
      <c r="I11" s="142">
        <f>Model!K86</f>
        <v>0.17498619547211483</v>
      </c>
      <c r="J11" s="142">
        <f>Model!L86</f>
        <v>0.17455779077985198</v>
      </c>
      <c r="K11" s="142">
        <f>Model!M86</f>
        <v>0.1767273103204996</v>
      </c>
      <c r="L11" s="142">
        <f>Model!N86</f>
        <v>0.18022812071720079</v>
      </c>
      <c r="M11" s="142">
        <f>Model!O86</f>
        <v>0.18341238784586805</v>
      </c>
      <c r="N11" s="142">
        <f>Model!P86</f>
        <v>0.1861906882610839</v>
      </c>
    </row>
    <row r="12" spans="2:14" x14ac:dyDescent="0.35">
      <c r="B12" s="33" t="s">
        <v>726</v>
      </c>
      <c r="C12" s="85"/>
      <c r="D12" s="241">
        <f>Comps!$H$33</f>
        <v>135.89852548075453</v>
      </c>
      <c r="F12" s="11" t="s">
        <v>278</v>
      </c>
      <c r="G12" s="240">
        <f>Model!I100</f>
        <v>469.89999999999964</v>
      </c>
      <c r="H12" s="240">
        <f>Model!J100</f>
        <v>575.5</v>
      </c>
      <c r="I12" s="240">
        <f>Model!K100</f>
        <v>672.00000000000011</v>
      </c>
      <c r="J12" s="240">
        <f>Model!L100</f>
        <v>729.9012814993057</v>
      </c>
      <c r="K12" s="240">
        <f>Model!M100</f>
        <v>792.56316700330069</v>
      </c>
      <c r="L12" s="240">
        <f>Model!N100</f>
        <v>862.81414485494599</v>
      </c>
      <c r="M12" s="240">
        <f>Model!O100</f>
        <v>931.76990875394335</v>
      </c>
      <c r="N12" s="240">
        <f>Model!P100</f>
        <v>998.2409912712825</v>
      </c>
    </row>
    <row r="13" spans="2:14" x14ac:dyDescent="0.35">
      <c r="B13" s="33" t="s">
        <v>727</v>
      </c>
      <c r="C13" s="85"/>
      <c r="D13" s="241">
        <f>DCF!$E$104</f>
        <v>138.1469113703337</v>
      </c>
      <c r="F13" s="40" t="s">
        <v>914</v>
      </c>
      <c r="G13" s="198">
        <f>Model!I105</f>
        <v>5.5282352941176427</v>
      </c>
      <c r="H13" s="198">
        <f>Model!J105</f>
        <v>6.7705882352941176</v>
      </c>
      <c r="I13" s="198">
        <f>Model!K105</f>
        <v>7.9058823529411777</v>
      </c>
      <c r="J13" s="198">
        <f>Model!L105</f>
        <v>8.5718035380831878</v>
      </c>
      <c r="K13" s="198">
        <f>Model!M105</f>
        <v>9.4823133207569885</v>
      </c>
      <c r="L13" s="198">
        <f>Model!N105</f>
        <v>10.506241450121808</v>
      </c>
      <c r="M13" s="198">
        <f>Model!O105</f>
        <v>11.531652797805895</v>
      </c>
      <c r="N13" s="198">
        <f>Model!P105</f>
        <v>12.529896427823948</v>
      </c>
    </row>
    <row r="14" spans="2:14" x14ac:dyDescent="0.35">
      <c r="B14" s="33" t="s">
        <v>997</v>
      </c>
      <c r="C14" s="85"/>
      <c r="D14" s="241">
        <f>Sensitivity!$I$46</f>
        <v>135.46370404926287</v>
      </c>
      <c r="F14" s="40" t="s">
        <v>915</v>
      </c>
      <c r="G14" s="198">
        <f>Model!I107</f>
        <v>4.2</v>
      </c>
      <c r="H14" s="198">
        <f>Model!J107</f>
        <v>4.8</v>
      </c>
      <c r="I14" s="198">
        <f>Model!K107</f>
        <v>5.4</v>
      </c>
      <c r="J14" s="198">
        <f>Model!L107</f>
        <v>5.5716722997540726</v>
      </c>
      <c r="K14" s="198">
        <f>Model!M107</f>
        <v>6.6376193245298918</v>
      </c>
      <c r="L14" s="198">
        <f>Model!N107</f>
        <v>7.8796810875913561</v>
      </c>
      <c r="M14" s="198">
        <f>Model!O107</f>
        <v>9.2253222382447166</v>
      </c>
      <c r="N14" s="198">
        <f>Model!P107</f>
        <v>10.650411963650356</v>
      </c>
    </row>
    <row r="15" spans="2:14" x14ac:dyDescent="0.35">
      <c r="B15" s="33" t="s">
        <v>998</v>
      </c>
      <c r="C15" s="85"/>
      <c r="D15" s="244">
        <f>Inputs!$C$32</f>
        <v>10370</v>
      </c>
      <c r="F15" s="11" t="s">
        <v>999</v>
      </c>
      <c r="G15" s="240">
        <f>Model!I125</f>
        <v>548.77199999999971</v>
      </c>
      <c r="H15" s="240">
        <f>Model!J125</f>
        <v>642.67200000000014</v>
      </c>
      <c r="I15" s="240">
        <f>Model!K125</f>
        <v>739.14599999999984</v>
      </c>
      <c r="J15" s="240">
        <f>Model!L125</f>
        <v>610.44539130621536</v>
      </c>
      <c r="K15" s="240">
        <f>Model!M125</f>
        <v>667.16890830053592</v>
      </c>
      <c r="L15" s="240">
        <f>Model!N125</f>
        <v>735.92127823741066</v>
      </c>
      <c r="M15" s="240">
        <f>Model!O125</f>
        <v>826.01593915020749</v>
      </c>
      <c r="N15" s="240">
        <f>Model!P125</f>
        <v>913.84720921365943</v>
      </c>
    </row>
    <row r="16" spans="2:14" x14ac:dyDescent="0.35">
      <c r="B16" s="33" t="s">
        <v>1000</v>
      </c>
      <c r="C16" s="85"/>
      <c r="D16" s="244">
        <f>Inputs!$C$48</f>
        <v>11445</v>
      </c>
      <c r="F16" s="40" t="s">
        <v>561</v>
      </c>
      <c r="G16" s="123">
        <f>Model!I122</f>
        <v>0.1639900249376558</v>
      </c>
      <c r="H16" s="123">
        <f>Model!J122</f>
        <v>0.17836578456436125</v>
      </c>
      <c r="I16" s="123">
        <f>Model!K122</f>
        <v>0.19281969941234592</v>
      </c>
      <c r="J16" s="123">
        <f>Model!L122</f>
        <v>0.19831138419092867</v>
      </c>
      <c r="K16" s="123">
        <f>Model!M122</f>
        <v>0.20444813728638925</v>
      </c>
      <c r="L16" s="123">
        <f>Model!N122</f>
        <v>0.213046844364745</v>
      </c>
      <c r="M16" s="123">
        <f>Model!O122</f>
        <v>0.22147727111674773</v>
      </c>
      <c r="N16" s="123">
        <f>Model!P122</f>
        <v>0.22962469380621831</v>
      </c>
    </row>
    <row r="17" spans="2:14" x14ac:dyDescent="0.35">
      <c r="B17" s="33" t="s">
        <v>45</v>
      </c>
      <c r="C17" s="85"/>
      <c r="D17" s="245">
        <f>WACC!$C$34</f>
        <v>8.9875829156050191E-2</v>
      </c>
      <c r="F17" s="40" t="s">
        <v>1001</v>
      </c>
      <c r="G17" s="185">
        <f>Model!I138</f>
        <v>1.1140474385356873</v>
      </c>
      <c r="H17" s="185">
        <f>Model!J138</f>
        <v>1.1921471927162366</v>
      </c>
      <c r="I17" s="185">
        <f>Model!K138</f>
        <v>0.83089594889897467</v>
      </c>
      <c r="J17" s="185">
        <f>Model!L138</f>
        <v>0.75</v>
      </c>
      <c r="K17" s="185">
        <f>Model!M138</f>
        <v>0.75</v>
      </c>
      <c r="L17" s="185">
        <f>Model!N138</f>
        <v>0.75</v>
      </c>
      <c r="M17" s="185">
        <f>Model!O138</f>
        <v>0.74999999999999989</v>
      </c>
      <c r="N17" s="185">
        <f>Model!P138</f>
        <v>0.75</v>
      </c>
    </row>
    <row r="18" spans="2:14" x14ac:dyDescent="0.35">
      <c r="B18" s="33" t="s">
        <v>1002</v>
      </c>
      <c r="C18" s="85"/>
      <c r="D18" s="245">
        <f>DCF!$E$52</f>
        <v>0.02</v>
      </c>
      <c r="F18" s="40" t="s">
        <v>782</v>
      </c>
      <c r="G18" s="185">
        <f>Analysis!I72</f>
        <v>22.068525218131533</v>
      </c>
      <c r="H18" s="185">
        <f>Analysis!J72</f>
        <v>18.019113814074718</v>
      </c>
      <c r="I18" s="185">
        <f>Analysis!K72</f>
        <v>15.431547619047617</v>
      </c>
      <c r="J18" s="185">
        <f>Analysis!L72</f>
        <v>14.232710707609316</v>
      </c>
      <c r="K18" s="185">
        <f>Analysis!M72</f>
        <v>12.866058721445047</v>
      </c>
      <c r="L18" s="185">
        <f>Analysis!N72</f>
        <v>11.612145083395694</v>
      </c>
      <c r="M18" s="185">
        <f>Analysis!O72</f>
        <v>10.579576244544294</v>
      </c>
      <c r="N18" s="185">
        <f>Analysis!P72</f>
        <v>9.7367125660421436</v>
      </c>
    </row>
    <row r="19" spans="2:14" x14ac:dyDescent="0.35">
      <c r="B19" s="33" t="s">
        <v>1003</v>
      </c>
      <c r="C19" s="85"/>
      <c r="D19" s="243">
        <f>DCF!$E$74</f>
        <v>0.64013486372258221</v>
      </c>
      <c r="F19" s="40" t="s">
        <v>780</v>
      </c>
      <c r="G19" s="185">
        <f>Analysis!I70</f>
        <v>10.205653546946008</v>
      </c>
      <c r="H19" s="185">
        <f>Analysis!J70</f>
        <v>9.1190640055058498</v>
      </c>
      <c r="I19" s="185">
        <f>Analysis!K70</f>
        <v>8.21145265245414</v>
      </c>
      <c r="J19" s="185">
        <f>Analysis!L70</f>
        <v>7.7880135954616962</v>
      </c>
      <c r="K19" s="185">
        <f>Analysis!M70</f>
        <v>7.2824176382319576</v>
      </c>
      <c r="L19" s="185">
        <f>Analysis!N70</f>
        <v>6.7729693572907355</v>
      </c>
      <c r="M19" s="185">
        <f>Analysis!O70</f>
        <v>6.3273575786275771</v>
      </c>
      <c r="N19" s="185">
        <f>Analysis!P70</f>
        <v>5.9502483742345085</v>
      </c>
    </row>
    <row r="20" spans="2:14" x14ac:dyDescent="0.35">
      <c r="B20" s="33" t="s">
        <v>1004</v>
      </c>
      <c r="C20" s="85"/>
      <c r="D20" s="246">
        <f>DCF!$E$91</f>
        <v>7.7086737862893573</v>
      </c>
    </row>
    <row r="21" spans="2:14" x14ac:dyDescent="0.35">
      <c r="B21" s="33" t="s">
        <v>1005</v>
      </c>
      <c r="C21" s="85"/>
      <c r="D21" s="243">
        <f>Reverse_DCF!$C$6</f>
        <v>0.17059578659830296</v>
      </c>
      <c r="F21" s="15" t="s">
        <v>1006</v>
      </c>
    </row>
    <row r="22" spans="2:14" x14ac:dyDescent="0.35">
      <c r="B22" s="33" t="s">
        <v>1007</v>
      </c>
      <c r="C22" s="85"/>
      <c r="D22" s="247">
        <f>Consensus!$H$16</f>
        <v>3.4922419079928213E-2</v>
      </c>
    </row>
    <row r="23" spans="2:14" x14ac:dyDescent="0.35">
      <c r="B23" s="33" t="s">
        <v>1008</v>
      </c>
      <c r="C23" s="85"/>
      <c r="D23" s="248" t="str">
        <f>Checks!$D$3</f>
        <v>ALL CHECKS OK</v>
      </c>
    </row>
    <row r="26" spans="2:14" x14ac:dyDescent="0.35">
      <c r="B26" s="249" t="s">
        <v>1009</v>
      </c>
      <c r="H26" s="249" t="s">
        <v>1010</v>
      </c>
    </row>
    <row r="44" spans="2:8" x14ac:dyDescent="0.35">
      <c r="B44" s="249" t="s">
        <v>1011</v>
      </c>
      <c r="H44" s="249" t="s">
        <v>1012</v>
      </c>
    </row>
  </sheetData>
  <conditionalFormatting sqref="D5">
    <cfRule type="expression" dxfId="9" priority="1">
      <formula>$D$5="BUY"</formula>
    </cfRule>
    <cfRule type="expression" dxfId="8" priority="2">
      <formula>$D$5="HOLD"</formula>
    </cfRule>
    <cfRule type="expression" dxfId="7" priority="3">
      <formula>$D$5="SELL"</formula>
    </cfRule>
  </conditionalFormatting>
  <conditionalFormatting sqref="D23">
    <cfRule type="expression" dxfId="6" priority="4">
      <formula>ISNUMBER(SEARCH("ERROR",$D$23))</formula>
    </cfRule>
  </conditionalFormatting>
  <printOptions horizontalCentered="1"/>
  <pageMargins left="0.4" right="0.4" top="1" bottom="1" header="0.5" footer="0.5"/>
  <pageSetup paperSize="9" fitToHeight="0"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1B0C0"/>
    <pageSetUpPr fitToPage="1"/>
  </sheetPr>
  <dimension ref="B1:N41"/>
  <sheetViews>
    <sheetView showGridLines="0" zoomScale="90" workbookViewId="0"/>
  </sheetViews>
  <sheetFormatPr defaultRowHeight="14.5" x14ac:dyDescent="0.35"/>
  <cols>
    <col min="1" max="1" width="2" customWidth="1"/>
    <col min="2" max="2" width="44" customWidth="1"/>
    <col min="3" max="3" width="14" customWidth="1"/>
    <col min="4" max="4" width="58" customWidth="1"/>
    <col min="5" max="5" width="3" customWidth="1"/>
    <col min="6" max="6" width="30" customWidth="1"/>
    <col min="7" max="14" width="10" customWidth="1"/>
  </cols>
  <sheetData>
    <row r="1" spans="2:14" ht="24" customHeight="1" x14ac:dyDescent="0.4">
      <c r="B1" s="30" t="s">
        <v>1013</v>
      </c>
    </row>
    <row r="2" spans="2:14" x14ac:dyDescent="0.35">
      <c r="B2" s="15" t="s">
        <v>1014</v>
      </c>
    </row>
    <row r="3" spans="2:14" x14ac:dyDescent="0.35">
      <c r="B3" s="31" t="s">
        <v>1015</v>
      </c>
      <c r="C3" s="31"/>
      <c r="D3" s="31"/>
      <c r="F3" s="31" t="s">
        <v>1016</v>
      </c>
      <c r="G3" s="31"/>
      <c r="H3" s="31"/>
      <c r="I3" s="31"/>
      <c r="J3" s="31"/>
      <c r="K3" s="31"/>
      <c r="L3" s="31"/>
      <c r="M3" s="31"/>
      <c r="N3" s="31"/>
    </row>
    <row r="4" spans="2:14" x14ac:dyDescent="0.35">
      <c r="B4" s="40" t="s">
        <v>1017</v>
      </c>
      <c r="C4" s="263" t="str">
        <f>"We initiate with a "&amp;DCF!$E$114&amp;" and a target price of NOK "&amp;FIXED(DCF!$E$109,0)&amp;" ("&amp;TEXT(DCF!$E$110,"+0%;-0%")&amp;" upside)"</f>
        <v>We initiate with a BUY and a target price of NOK 146 (+20% upside)</v>
      </c>
      <c r="D4" s="253"/>
      <c r="G4" s="173" t="str">
        <f>Model!I5</f>
        <v>2023A</v>
      </c>
      <c r="H4" s="173" t="str">
        <f>Model!J5</f>
        <v>2024A</v>
      </c>
      <c r="I4" s="173" t="str">
        <f>Model!K5</f>
        <v>2025A</v>
      </c>
      <c r="J4" s="173" t="str">
        <f>Model!L5</f>
        <v>2026E</v>
      </c>
      <c r="K4" s="173" t="str">
        <f>Model!M5</f>
        <v>2027E</v>
      </c>
      <c r="L4" s="173" t="str">
        <f>Model!N5</f>
        <v>2028E</v>
      </c>
      <c r="M4" s="173" t="str">
        <f>Model!O5</f>
        <v>2029E</v>
      </c>
      <c r="N4" s="173" t="str">
        <f>Model!P5</f>
        <v>2030E</v>
      </c>
    </row>
    <row r="5" spans="2:14" x14ac:dyDescent="0.35">
      <c r="B5" s="40" t="s">
        <v>1018</v>
      </c>
      <c r="C5" s="263" t="str">
        <f>DCF!$E$114&amp;" – TP NOK "&amp;FIXED(DCF!$E$109,0)</f>
        <v>BUY – TP NOK 146</v>
      </c>
      <c r="D5" s="253"/>
      <c r="F5" s="40" t="s">
        <v>455</v>
      </c>
      <c r="G5" s="141">
        <f>Model!I67</f>
        <v>4687</v>
      </c>
      <c r="H5" s="141">
        <f>Model!J67</f>
        <v>5045</v>
      </c>
      <c r="I5" s="141">
        <f>Model!K67</f>
        <v>5433</v>
      </c>
      <c r="J5" s="141">
        <f>Model!L67</f>
        <v>5726.4479591482213</v>
      </c>
      <c r="K5" s="141">
        <f>Model!M67</f>
        <v>6083.8427205928429</v>
      </c>
      <c r="L5" s="141">
        <f>Model!N67</f>
        <v>6479.0281577074584</v>
      </c>
      <c r="M5" s="141">
        <f>Model!O67</f>
        <v>6875.8850742664126</v>
      </c>
      <c r="N5" s="141">
        <f>Model!P67</f>
        <v>7257.9391223272778</v>
      </c>
    </row>
    <row r="6" spans="2:14" x14ac:dyDescent="0.35">
      <c r="B6" s="40" t="s">
        <v>1019</v>
      </c>
      <c r="C6" s="263" t="str">
        <f>"TP based on "&amp;FIXED(Inputs!$C$59*100,0)&amp;"% DCF (NOK "&amp;FIXED(DCF!$E$102,0)&amp;") and "&amp;FIXED(Inputs!$C$60*100,0)&amp;"% peer multiples (NOK "&amp;FIXED(DCF!$E$103,0)&amp;"), rolled forward 12 months"</f>
        <v>TP based on 70% DCF (NOK 139) and 30% peer multiples (NOK 136), rolled forward 12 months</v>
      </c>
      <c r="D6" s="253"/>
      <c r="F6" s="40" t="s">
        <v>525</v>
      </c>
      <c r="G6" s="123">
        <f>Model!I59</f>
        <v>9.9718442045987787E-2</v>
      </c>
      <c r="H6" s="123">
        <f>Model!J59</f>
        <v>7.6381480691273707E-2</v>
      </c>
      <c r="I6" s="123">
        <f>Model!K59</f>
        <v>7.6907829534192285E-2</v>
      </c>
      <c r="J6" s="123">
        <f>Model!L59</f>
        <v>5.4012140465345304E-2</v>
      </c>
      <c r="K6" s="123">
        <f>Model!M59</f>
        <v>6.2411247599599706E-2</v>
      </c>
      <c r="L6" s="123">
        <f>Model!N59</f>
        <v>6.4956550532934587E-2</v>
      </c>
      <c r="M6" s="123">
        <f>Model!O59</f>
        <v>6.1252537710744903E-2</v>
      </c>
      <c r="N6" s="123">
        <f>Model!P59</f>
        <v>5.5564344652986541E-2</v>
      </c>
    </row>
    <row r="7" spans="2:14" x14ac:dyDescent="0.35">
      <c r="B7" s="40" t="s">
        <v>1020</v>
      </c>
      <c r="C7" s="263" t="str">
        <f>"DCF value NOK "&amp;FIXED(DCF!$E$83,0)&amp;" per share (WACC "&amp;FIXED(WACC!$C$34*100,1)&amp;"%, g "&amp;FIXED(DCF!$E$52*100,1)&amp;"%)"</f>
        <v>DCF value NOK 139 per share (WACC 9,0%, g 2,0%)</v>
      </c>
      <c r="D7" s="253"/>
      <c r="F7" s="40" t="s">
        <v>527</v>
      </c>
      <c r="G7" s="141">
        <f>Model!I78</f>
        <v>1298.2999999999997</v>
      </c>
      <c r="H7" s="141">
        <f>Model!J78</f>
        <v>1453</v>
      </c>
      <c r="I7" s="141">
        <f>Model!K78</f>
        <v>1613.6</v>
      </c>
      <c r="J7" s="141">
        <f>Model!L78</f>
        <v>1701.3324177709658</v>
      </c>
      <c r="K7" s="141">
        <f>Model!M78</f>
        <v>1819.4507179097827</v>
      </c>
      <c r="L7" s="141">
        <f>Model!N78</f>
        <v>1956.305912669912</v>
      </c>
      <c r="M7" s="141">
        <f>Model!O78</f>
        <v>2094.0811129049489</v>
      </c>
      <c r="N7" s="141">
        <f>Model!P78</f>
        <v>2226.7978018152216</v>
      </c>
    </row>
    <row r="8" spans="2:14" x14ac:dyDescent="0.35">
      <c r="B8" s="40" t="s">
        <v>1021</v>
      </c>
      <c r="C8" s="263" t="str">
        <f>"Share price NOK "&amp;FIXED(Inputs!$C$27,1)&amp;" | Market cap NOKm "&amp;FIXED(Inputs!$C$32,0)&amp;" | EV NOKm "&amp;FIXED(Inputs!$C$48,0)</f>
        <v>Share price NOK 122,0 | Market cap NOKm 10.370 | EV NOKm 11.445</v>
      </c>
      <c r="D8" s="253"/>
      <c r="F8" s="40" t="s">
        <v>475</v>
      </c>
      <c r="G8" s="123">
        <f>Model!I79</f>
        <v>0.27700021335609126</v>
      </c>
      <c r="H8" s="123">
        <f>Model!J79</f>
        <v>0.28800792864222002</v>
      </c>
      <c r="I8" s="123">
        <f>Model!K79</f>
        <v>0.29699981593962821</v>
      </c>
      <c r="J8" s="123">
        <f>Model!L79</f>
        <v>0.29710082583620123</v>
      </c>
      <c r="K8" s="123">
        <f>Model!M79</f>
        <v>0.29906274725860854</v>
      </c>
      <c r="L8" s="123">
        <f>Model!N79</f>
        <v>0.30194434490035182</v>
      </c>
      <c r="M8" s="123">
        <f>Model!O79</f>
        <v>0.30455440867419764</v>
      </c>
      <c r="N8" s="123">
        <f>Model!P79</f>
        <v>0.30680855326617745</v>
      </c>
    </row>
    <row r="9" spans="2:14" x14ac:dyDescent="0.35">
      <c r="B9" s="40" t="s">
        <v>785</v>
      </c>
      <c r="C9" s="20" t="str">
        <f>Inputs!$C$6</f>
        <v>Example Company ASA</v>
      </c>
      <c r="F9" s="40" t="s">
        <v>555</v>
      </c>
      <c r="G9" s="141">
        <f>Model!I85</f>
        <v>712.39999999999975</v>
      </c>
      <c r="H9" s="141">
        <f>Model!J85</f>
        <v>827.40000000000009</v>
      </c>
      <c r="I9" s="141">
        <f>Model!K85</f>
        <v>950.69999999999993</v>
      </c>
      <c r="J9" s="141">
        <f>Model!L85</f>
        <v>999.59610476470561</v>
      </c>
      <c r="K9" s="141">
        <f>Model!M85</f>
        <v>1075.1811604233239</v>
      </c>
      <c r="L9" s="141">
        <f>Model!N85</f>
        <v>1167.7030689374428</v>
      </c>
      <c r="M9" s="141">
        <f>Model!O85</f>
        <v>1261.1225000249665</v>
      </c>
      <c r="N9" s="141">
        <f>Model!P85</f>
        <v>1351.360680543163</v>
      </c>
    </row>
    <row r="10" spans="2:14" x14ac:dyDescent="0.35">
      <c r="B10" s="40" t="s">
        <v>156</v>
      </c>
      <c r="C10" s="20" t="str">
        <f>Inputs!$C$7</f>
        <v>EXMPL</v>
      </c>
      <c r="F10" s="40" t="s">
        <v>333</v>
      </c>
      <c r="G10" s="123">
        <f>Model!I86</f>
        <v>0.15199487945380835</v>
      </c>
      <c r="H10" s="123">
        <f>Model!J86</f>
        <v>0.16400396432111003</v>
      </c>
      <c r="I10" s="123">
        <f>Model!K86</f>
        <v>0.17498619547211483</v>
      </c>
      <c r="J10" s="123">
        <f>Model!L86</f>
        <v>0.17455779077985198</v>
      </c>
      <c r="K10" s="123">
        <f>Model!M86</f>
        <v>0.1767273103204996</v>
      </c>
      <c r="L10" s="123">
        <f>Model!N86</f>
        <v>0.18022812071720079</v>
      </c>
      <c r="M10" s="123">
        <f>Model!O86</f>
        <v>0.18341238784586805</v>
      </c>
      <c r="N10" s="123">
        <f>Model!P86</f>
        <v>0.1861906882610839</v>
      </c>
    </row>
    <row r="11" spans="2:14" x14ac:dyDescent="0.35">
      <c r="B11" s="40" t="s">
        <v>738</v>
      </c>
      <c r="C11" s="20" t="str">
        <f>DCF!$E$114</f>
        <v>BUY</v>
      </c>
      <c r="F11" s="40" t="s">
        <v>277</v>
      </c>
      <c r="G11" s="141">
        <f>Model!I100</f>
        <v>469.89999999999964</v>
      </c>
      <c r="H11" s="141">
        <f>Model!J100</f>
        <v>575.5</v>
      </c>
      <c r="I11" s="141">
        <f>Model!K100</f>
        <v>672.00000000000011</v>
      </c>
      <c r="J11" s="141">
        <f>Model!L100</f>
        <v>729.9012814993057</v>
      </c>
      <c r="K11" s="141">
        <f>Model!M100</f>
        <v>792.56316700330069</v>
      </c>
      <c r="L11" s="141">
        <f>Model!N100</f>
        <v>862.81414485494599</v>
      </c>
      <c r="M11" s="141">
        <f>Model!O100</f>
        <v>931.76990875394335</v>
      </c>
      <c r="N11" s="141">
        <f>Model!P100</f>
        <v>998.2409912712825</v>
      </c>
    </row>
    <row r="12" spans="2:14" x14ac:dyDescent="0.35">
      <c r="B12" s="40" t="s">
        <v>732</v>
      </c>
      <c r="C12" s="74">
        <f>DCF!$E$109</f>
        <v>146</v>
      </c>
      <c r="F12" s="40" t="s">
        <v>914</v>
      </c>
      <c r="G12" s="198">
        <f>Model!I105</f>
        <v>5.5282352941176427</v>
      </c>
      <c r="H12" s="198">
        <f>Model!J105</f>
        <v>6.7705882352941176</v>
      </c>
      <c r="I12" s="198">
        <f>Model!K105</f>
        <v>7.9058823529411777</v>
      </c>
      <c r="J12" s="198">
        <f>Model!L105</f>
        <v>8.5718035380831878</v>
      </c>
      <c r="K12" s="198">
        <f>Model!M105</f>
        <v>9.4823133207569885</v>
      </c>
      <c r="L12" s="198">
        <f>Model!N105</f>
        <v>10.506241450121808</v>
      </c>
      <c r="M12" s="198">
        <f>Model!O105</f>
        <v>11.531652797805895</v>
      </c>
      <c r="N12" s="198">
        <f>Model!P105</f>
        <v>12.529896427823948</v>
      </c>
    </row>
    <row r="13" spans="2:14" x14ac:dyDescent="0.35">
      <c r="B13" s="40" t="s">
        <v>765</v>
      </c>
      <c r="C13" s="45">
        <f>DCF!$E$110</f>
        <v>0.19672131147540983</v>
      </c>
      <c r="F13" s="40" t="s">
        <v>915</v>
      </c>
      <c r="G13" s="198">
        <f>Model!I107</f>
        <v>4.2</v>
      </c>
      <c r="H13" s="198">
        <f>Model!J107</f>
        <v>4.8</v>
      </c>
      <c r="I13" s="198">
        <f>Model!K107</f>
        <v>5.4</v>
      </c>
      <c r="J13" s="198">
        <f>Model!L107</f>
        <v>5.5716722997540726</v>
      </c>
      <c r="K13" s="198">
        <f>Model!M107</f>
        <v>6.6376193245298918</v>
      </c>
      <c r="L13" s="198">
        <f>Model!N107</f>
        <v>7.8796810875913561</v>
      </c>
      <c r="M13" s="198">
        <f>Model!O107</f>
        <v>9.2253222382447166</v>
      </c>
      <c r="N13" s="198">
        <f>Model!P107</f>
        <v>10.650411963650356</v>
      </c>
    </row>
    <row r="14" spans="2:14" x14ac:dyDescent="0.35">
      <c r="B14" s="40" t="s">
        <v>735</v>
      </c>
      <c r="C14" s="45">
        <f>DCF!$E$112</f>
        <v>0.24239075655536124</v>
      </c>
      <c r="F14" s="40" t="s">
        <v>999</v>
      </c>
      <c r="G14" s="141">
        <f>Model!I125</f>
        <v>548.77199999999971</v>
      </c>
      <c r="H14" s="141">
        <f>Model!J125</f>
        <v>642.67200000000014</v>
      </c>
      <c r="I14" s="141">
        <f>Model!K125</f>
        <v>739.14599999999984</v>
      </c>
      <c r="J14" s="141">
        <f>Model!L125</f>
        <v>610.44539130621536</v>
      </c>
      <c r="K14" s="141">
        <f>Model!M125</f>
        <v>667.16890830053592</v>
      </c>
      <c r="L14" s="141">
        <f>Model!N125</f>
        <v>735.92127823741066</v>
      </c>
      <c r="M14" s="141">
        <f>Model!O125</f>
        <v>826.01593915020749</v>
      </c>
      <c r="N14" s="141">
        <f>Model!P125</f>
        <v>913.84720921365943</v>
      </c>
    </row>
    <row r="15" spans="2:14" x14ac:dyDescent="0.35">
      <c r="B15" s="40" t="s">
        <v>996</v>
      </c>
      <c r="C15" s="45">
        <f>DCF!$E$113</f>
        <v>0.14772872415974991</v>
      </c>
      <c r="F15" s="40" t="s">
        <v>561</v>
      </c>
      <c r="G15" s="123">
        <f>Model!I122</f>
        <v>0.1639900249376558</v>
      </c>
      <c r="H15" s="123">
        <f>Model!J122</f>
        <v>0.17836578456436125</v>
      </c>
      <c r="I15" s="123">
        <f>Model!K122</f>
        <v>0.19281969941234592</v>
      </c>
      <c r="J15" s="123">
        <f>Model!L122</f>
        <v>0.19831138419092867</v>
      </c>
      <c r="K15" s="123">
        <f>Model!M122</f>
        <v>0.20444813728638925</v>
      </c>
      <c r="L15" s="123">
        <f>Model!N122</f>
        <v>0.213046844364745</v>
      </c>
      <c r="M15" s="123">
        <f>Model!O122</f>
        <v>0.22147727111674773</v>
      </c>
      <c r="N15" s="123">
        <f>Model!P122</f>
        <v>0.22962469380621831</v>
      </c>
    </row>
    <row r="16" spans="2:14" x14ac:dyDescent="0.35">
      <c r="B16" s="40" t="s">
        <v>867</v>
      </c>
      <c r="C16" s="74">
        <f>Inputs!$C$27</f>
        <v>122</v>
      </c>
      <c r="F16" s="40" t="s">
        <v>346</v>
      </c>
      <c r="G16" s="185">
        <f>Model!I138</f>
        <v>1.1140474385356873</v>
      </c>
      <c r="H16" s="185">
        <f>Model!J138</f>
        <v>1.1921471927162366</v>
      </c>
      <c r="I16" s="185">
        <f>Model!K138</f>
        <v>0.83089594889897467</v>
      </c>
      <c r="J16" s="185">
        <f>Model!L138</f>
        <v>0.75</v>
      </c>
      <c r="K16" s="185">
        <f>Model!M138</f>
        <v>0.75</v>
      </c>
      <c r="L16" s="185">
        <f>Model!N138</f>
        <v>0.75</v>
      </c>
      <c r="M16" s="185">
        <f>Model!O138</f>
        <v>0.74999999999999989</v>
      </c>
      <c r="N16" s="185">
        <f>Model!P138</f>
        <v>0.75</v>
      </c>
    </row>
    <row r="17" spans="2:14" x14ac:dyDescent="0.35">
      <c r="B17" s="40" t="s">
        <v>1022</v>
      </c>
      <c r="C17" s="49">
        <f>Inputs!$C$32</f>
        <v>10370</v>
      </c>
      <c r="F17" s="40" t="s">
        <v>581</v>
      </c>
      <c r="G17" s="184">
        <f>Analysis!I69</f>
        <v>2.8269682099423941</v>
      </c>
      <c r="H17" s="184">
        <f>Analysis!J69</f>
        <v>2.6263627353815657</v>
      </c>
      <c r="I17" s="184">
        <f>Analysis!K69</f>
        <v>2.4387999263758511</v>
      </c>
      <c r="J17" s="184">
        <f>Analysis!L69</f>
        <v>2.3138252708352329</v>
      </c>
      <c r="K17" s="184">
        <f>Analysis!M69</f>
        <v>2.177899825574197</v>
      </c>
      <c r="L17" s="184">
        <f>Analysis!N69</f>
        <v>2.0450597956173082</v>
      </c>
      <c r="M17" s="184">
        <f>Analysis!O69</f>
        <v>1.9270246458291249</v>
      </c>
      <c r="N17" s="184">
        <f>Analysis!P69</f>
        <v>1.8255870952733138</v>
      </c>
    </row>
    <row r="18" spans="2:14" x14ac:dyDescent="0.35">
      <c r="B18" s="40" t="s">
        <v>1023</v>
      </c>
      <c r="C18" s="49">
        <f>Inputs!$C$48</f>
        <v>11445</v>
      </c>
      <c r="F18" s="40" t="s">
        <v>583</v>
      </c>
      <c r="G18" s="185">
        <f>Analysis!I70</f>
        <v>10.205653546946008</v>
      </c>
      <c r="H18" s="185">
        <f>Analysis!J70</f>
        <v>9.1190640055058498</v>
      </c>
      <c r="I18" s="185">
        <f>Analysis!K70</f>
        <v>8.21145265245414</v>
      </c>
      <c r="J18" s="185">
        <f>Analysis!L70</f>
        <v>7.7880135954616962</v>
      </c>
      <c r="K18" s="185">
        <f>Analysis!M70</f>
        <v>7.2824176382319576</v>
      </c>
      <c r="L18" s="185">
        <f>Analysis!N70</f>
        <v>6.7729693572907355</v>
      </c>
      <c r="M18" s="185">
        <f>Analysis!O70</f>
        <v>6.3273575786275771</v>
      </c>
      <c r="N18" s="185">
        <f>Analysis!P70</f>
        <v>5.9502483742345085</v>
      </c>
    </row>
    <row r="19" spans="2:14" x14ac:dyDescent="0.35">
      <c r="B19" s="40" t="s">
        <v>1024</v>
      </c>
      <c r="C19" s="49">
        <f>Inputs!$C$42</f>
        <v>1025</v>
      </c>
      <c r="F19" s="40" t="s">
        <v>585</v>
      </c>
      <c r="G19" s="185">
        <f>Analysis!I71</f>
        <v>16.827533655067317</v>
      </c>
      <c r="H19" s="185">
        <f>Analysis!J71</f>
        <v>14.606989306581411</v>
      </c>
      <c r="I19" s="185">
        <f>Analysis!K71</f>
        <v>12.795750845002415</v>
      </c>
      <c r="J19" s="185">
        <f>Analysis!L71</f>
        <v>12.160976912882933</v>
      </c>
      <c r="K19" s="185">
        <f>Analysis!M71</f>
        <v>11.319975277441578</v>
      </c>
      <c r="L19" s="185">
        <f>Analysis!N71</f>
        <v>10.4461640231803</v>
      </c>
      <c r="M19" s="185">
        <f>Analysis!O71</f>
        <v>9.6912943583394373</v>
      </c>
      <c r="N19" s="185">
        <f>Analysis!P71</f>
        <v>9.0593444049046052</v>
      </c>
    </row>
    <row r="20" spans="2:14" x14ac:dyDescent="0.35">
      <c r="B20" s="40" t="s">
        <v>705</v>
      </c>
      <c r="C20" s="74">
        <f>DCF!$E$83</f>
        <v>139.11050532301047</v>
      </c>
      <c r="F20" s="40" t="s">
        <v>586</v>
      </c>
      <c r="G20" s="185">
        <f>Analysis!I72</f>
        <v>22.068525218131533</v>
      </c>
      <c r="H20" s="185">
        <f>Analysis!J72</f>
        <v>18.019113814074718</v>
      </c>
      <c r="I20" s="185">
        <f>Analysis!K72</f>
        <v>15.431547619047617</v>
      </c>
      <c r="J20" s="185">
        <f>Analysis!L72</f>
        <v>14.232710707609316</v>
      </c>
      <c r="K20" s="185">
        <f>Analysis!M72</f>
        <v>12.866058721445047</v>
      </c>
      <c r="L20" s="185">
        <f>Analysis!N72</f>
        <v>11.612145083395694</v>
      </c>
      <c r="M20" s="185">
        <f>Analysis!O72</f>
        <v>10.579576244544294</v>
      </c>
      <c r="N20" s="185">
        <f>Analysis!P72</f>
        <v>9.7367125660421436</v>
      </c>
    </row>
    <row r="21" spans="2:14" x14ac:dyDescent="0.35">
      <c r="B21" s="40" t="s">
        <v>1025</v>
      </c>
      <c r="C21" s="74">
        <f>Comps!$H$33</f>
        <v>135.89852548075453</v>
      </c>
      <c r="F21" s="40" t="s">
        <v>1026</v>
      </c>
      <c r="G21" s="123">
        <f>Analysis!I74</f>
        <v>4.6600964320154266E-2</v>
      </c>
      <c r="H21" s="123">
        <f>Analysis!J74</f>
        <v>5.5798842815814861E-2</v>
      </c>
      <c r="I21" s="123">
        <f>Analysis!K74</f>
        <v>6.5229893924783011E-2</v>
      </c>
      <c r="J21" s="123">
        <f>Analysis!L74</f>
        <v>5.4776706972634079E-2</v>
      </c>
      <c r="K21" s="123">
        <f>Analysis!M74</f>
        <v>6.0665039414583684E-2</v>
      </c>
      <c r="L21" s="123">
        <f>Analysis!N74</f>
        <v>6.7178623308932067E-2</v>
      </c>
      <c r="M21" s="123">
        <f>Analysis!O74</f>
        <v>7.5556616696703743E-2</v>
      </c>
      <c r="N21" s="123">
        <f>Analysis!P74</f>
        <v>8.3713607714305527E-2</v>
      </c>
    </row>
    <row r="22" spans="2:14" x14ac:dyDescent="0.35">
      <c r="B22" s="40" t="s">
        <v>764</v>
      </c>
      <c r="C22" s="74">
        <f>DCF!$E$104</f>
        <v>138.1469113703337</v>
      </c>
      <c r="F22" s="40" t="s">
        <v>589</v>
      </c>
      <c r="G22" s="123">
        <f>Analysis!I75</f>
        <v>3.4426229508196723E-2</v>
      </c>
      <c r="H22" s="123">
        <f>Analysis!J75</f>
        <v>3.9344262295081964E-2</v>
      </c>
      <c r="I22" s="123">
        <f>Analysis!K75</f>
        <v>4.4262295081967218E-2</v>
      </c>
      <c r="J22" s="123">
        <f>Analysis!L75</f>
        <v>4.5669445079951416E-2</v>
      </c>
      <c r="K22" s="123">
        <f>Analysis!M75</f>
        <v>5.4406715774835177E-2</v>
      </c>
      <c r="L22" s="123">
        <f>Analysis!N75</f>
        <v>6.4587549898289798E-2</v>
      </c>
      <c r="M22" s="123">
        <f>Analysis!O75</f>
        <v>7.5617395395448497E-2</v>
      </c>
      <c r="N22" s="123">
        <f>Analysis!P75</f>
        <v>8.7298458718445535E-2</v>
      </c>
    </row>
    <row r="23" spans="2:14" x14ac:dyDescent="0.35">
      <c r="B23" s="40" t="s">
        <v>997</v>
      </c>
      <c r="C23" s="74">
        <f>Sensitivity!$I$46</f>
        <v>135.46370404926287</v>
      </c>
    </row>
    <row r="24" spans="2:14" x14ac:dyDescent="0.35">
      <c r="B24" s="40" t="s">
        <v>45</v>
      </c>
      <c r="C24" s="125">
        <f>WACC!$C$34</f>
        <v>8.9875829156050191E-2</v>
      </c>
      <c r="F24" s="15" t="s">
        <v>1027</v>
      </c>
    </row>
    <row r="25" spans="2:14" x14ac:dyDescent="0.35">
      <c r="B25" s="40" t="s">
        <v>728</v>
      </c>
      <c r="C25" s="125">
        <f>WACC!$C$16</f>
        <v>9.4662032395611315E-2</v>
      </c>
    </row>
    <row r="26" spans="2:14" x14ac:dyDescent="0.35">
      <c r="B26" s="40" t="s">
        <v>1002</v>
      </c>
      <c r="C26" s="125">
        <f>DCF!$E$52</f>
        <v>0.02</v>
      </c>
    </row>
    <row r="27" spans="2:14" x14ac:dyDescent="0.35">
      <c r="B27" s="40" t="s">
        <v>1028</v>
      </c>
      <c r="C27" s="45">
        <f>DCF!$E$74</f>
        <v>0.64013486372258221</v>
      </c>
    </row>
    <row r="28" spans="2:14" x14ac:dyDescent="0.35">
      <c r="B28" s="40" t="s">
        <v>1029</v>
      </c>
      <c r="C28" s="94">
        <f>DCF!$E$91</f>
        <v>7.7086737862893573</v>
      </c>
    </row>
    <row r="29" spans="2:14" x14ac:dyDescent="0.35">
      <c r="B29" s="40" t="s">
        <v>1030</v>
      </c>
      <c r="C29" s="45">
        <f>(Model!P67/Model!K67)^(1/5)-1</f>
        <v>5.963116571920013E-2</v>
      </c>
    </row>
    <row r="30" spans="2:14" x14ac:dyDescent="0.35">
      <c r="B30" s="40" t="s">
        <v>1031</v>
      </c>
      <c r="C30" s="45">
        <f>Model!K86</f>
        <v>0.17498619547211483</v>
      </c>
    </row>
    <row r="31" spans="2:14" x14ac:dyDescent="0.35">
      <c r="B31" s="40" t="s">
        <v>1032</v>
      </c>
      <c r="C31" s="45">
        <f>Model!P86</f>
        <v>0.1861906882610839</v>
      </c>
    </row>
    <row r="32" spans="2:14" x14ac:dyDescent="0.35">
      <c r="B32" s="40" t="s">
        <v>1033</v>
      </c>
      <c r="C32" s="45">
        <f>Model!N122</f>
        <v>0.213046844364745</v>
      </c>
    </row>
    <row r="33" spans="2:4" x14ac:dyDescent="0.35">
      <c r="B33" s="40" t="s">
        <v>1034</v>
      </c>
      <c r="C33" s="94">
        <f>Analysis!L72</f>
        <v>14.232710707609316</v>
      </c>
    </row>
    <row r="34" spans="2:4" x14ac:dyDescent="0.35">
      <c r="B34" s="40" t="s">
        <v>1035</v>
      </c>
      <c r="C34" s="94">
        <f>Analysis!M71</f>
        <v>11.319975277441578</v>
      </c>
    </row>
    <row r="35" spans="2:4" x14ac:dyDescent="0.35">
      <c r="B35" s="40" t="s">
        <v>1036</v>
      </c>
      <c r="C35" s="45">
        <f>Analysis!L75</f>
        <v>4.5669445079951416E-2</v>
      </c>
    </row>
    <row r="36" spans="2:4" x14ac:dyDescent="0.35">
      <c r="B36" s="40" t="s">
        <v>1037</v>
      </c>
      <c r="C36" s="263" t="str">
        <f>Reverse_DCF!$B$18</f>
        <v>At NOK 122 the market prices in an EBIT adj. margin of 17,1% in 2033E – our base case is 19,1%, and the company earned 17,5% in 2025A.</v>
      </c>
      <c r="D36" s="253"/>
    </row>
    <row r="37" spans="2:4" x14ac:dyDescent="0.35">
      <c r="B37" s="40" t="s">
        <v>1005</v>
      </c>
      <c r="C37" s="45">
        <f>Reverse_DCF!$C$6</f>
        <v>0.17059578659830296</v>
      </c>
    </row>
    <row r="38" spans="2:4" x14ac:dyDescent="0.35">
      <c r="B38" s="40" t="s">
        <v>1038</v>
      </c>
      <c r="C38" s="45">
        <f>Reverse_DCF!$C$8</f>
        <v>4.6257618365537816E-2</v>
      </c>
    </row>
    <row r="39" spans="2:4" x14ac:dyDescent="0.35">
      <c r="B39" s="40" t="s">
        <v>1039</v>
      </c>
      <c r="C39" s="125">
        <f>Reverse_DCF!$C$10</f>
        <v>9.872874352001193E-2</v>
      </c>
    </row>
    <row r="40" spans="2:4" x14ac:dyDescent="0.35">
      <c r="B40" s="40" t="s">
        <v>1007</v>
      </c>
      <c r="C40" s="45">
        <f>Consensus!$H$16</f>
        <v>3.4922419079928213E-2</v>
      </c>
    </row>
    <row r="41" spans="2:4" x14ac:dyDescent="0.35">
      <c r="B41" s="40" t="s">
        <v>1040</v>
      </c>
      <c r="C41" s="45">
        <f>Consensus!$H$17</f>
        <v>5.0090068743852578E-2</v>
      </c>
    </row>
  </sheetData>
  <mergeCells count="6">
    <mergeCell ref="C4:D4"/>
    <mergeCell ref="C6:D6"/>
    <mergeCell ref="C7:D7"/>
    <mergeCell ref="C5:D5"/>
    <mergeCell ref="C36:D36"/>
    <mergeCell ref="C8:D8"/>
  </mergeCells>
  <printOptions horizontalCentered="1"/>
  <pageMargins left="0.4" right="0.4" top="1" bottom="1" header="0.5" footer="0.5"/>
  <pageSetup paperSize="9"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1B0C0"/>
    <pageSetUpPr fitToPage="1"/>
  </sheetPr>
  <dimension ref="B1:G36"/>
  <sheetViews>
    <sheetView showGridLines="0" zoomScale="90" workbookViewId="0">
      <pane ySplit="6" topLeftCell="A7" activePane="bottomLeft" state="frozen"/>
      <selection pane="bottomLeft"/>
    </sheetView>
  </sheetViews>
  <sheetFormatPr defaultRowHeight="14.5" x14ac:dyDescent="0.35"/>
  <cols>
    <col min="1" max="1" width="2" customWidth="1"/>
    <col min="2" max="2" width="5" customWidth="1"/>
    <col min="3" max="3" width="48" customWidth="1"/>
    <col min="4" max="4" width="13" customWidth="1"/>
    <col min="5" max="5" width="12" customWidth="1"/>
    <col min="6" max="6" width="10" customWidth="1"/>
    <col min="7" max="7" width="70" customWidth="1"/>
  </cols>
  <sheetData>
    <row r="1" spans="2:7" ht="24" customHeight="1" x14ac:dyDescent="0.4">
      <c r="B1" s="30" t="s">
        <v>1041</v>
      </c>
    </row>
    <row r="2" spans="2:7" x14ac:dyDescent="0.35">
      <c r="B2" s="15" t="s">
        <v>1042</v>
      </c>
    </row>
    <row r="3" spans="2:7" x14ac:dyDescent="0.35">
      <c r="C3" s="250" t="s">
        <v>1043</v>
      </c>
      <c r="D3" s="250" t="str">
        <f>IF(COUNTIF(E7:E36,"ERROR")&gt;0,COUNTIF(E7:E36,"ERROR")&amp;" ERROR(S)",IF(COUNTIF(E7:E36,"WARNING")&gt;0,"OK – "&amp;COUNTIF(E7:E36,"WARNING")&amp;" WARNING(S)","ALL CHECKS OK"))</f>
        <v>ALL CHECKS OK</v>
      </c>
    </row>
    <row r="4" spans="2:7" x14ac:dyDescent="0.35">
      <c r="C4" s="40" t="s">
        <v>1044</v>
      </c>
      <c r="D4" s="20" t="str">
        <f>COUNTIF(E7:E36,"ERROR")&amp;" / "&amp;COUNTIF(E7:E36,"WARNING")</f>
        <v>0 / 0</v>
      </c>
    </row>
    <row r="6" spans="2:7" x14ac:dyDescent="0.35">
      <c r="B6" s="9" t="s">
        <v>315</v>
      </c>
      <c r="C6" s="9" t="s">
        <v>1045</v>
      </c>
      <c r="D6" s="9" t="s">
        <v>1046</v>
      </c>
      <c r="E6" s="9" t="s">
        <v>978</v>
      </c>
      <c r="F6" s="9" t="s">
        <v>1047</v>
      </c>
      <c r="G6" s="9" t="s">
        <v>1048</v>
      </c>
    </row>
    <row r="7" spans="2:7" x14ac:dyDescent="0.35">
      <c r="B7" s="251">
        <v>1</v>
      </c>
      <c r="C7" s="40" t="s">
        <v>1049</v>
      </c>
      <c r="D7" s="48">
        <f>MAX(ABS(MAX(Hist!E59:K59)),ABS(MIN(Hist!E59:K59)))</f>
        <v>0</v>
      </c>
      <c r="E7" s="170" t="str">
        <f>IF(ISERROR(D7),"ERROR",IF(ABS(D7)&lt;=0.5,"OK","ERROR"))</f>
        <v>OK</v>
      </c>
      <c r="F7" s="8" t="s">
        <v>1050</v>
      </c>
      <c r="G7" s="15" t="s">
        <v>1051</v>
      </c>
    </row>
    <row r="8" spans="2:7" x14ac:dyDescent="0.35">
      <c r="B8" s="251">
        <v>2</v>
      </c>
      <c r="C8" s="40" t="s">
        <v>1052</v>
      </c>
      <c r="D8" s="48">
        <f>MAX(ABS(MAX(Hist!F70:K70)),ABS(MIN(Hist!F70:K70)))</f>
        <v>0</v>
      </c>
      <c r="E8" s="170" t="str">
        <f>IF(ISERROR(D8),"ERROR",IF(ABS(D8)&lt;=0.5,"OK","WARNING"))</f>
        <v>OK</v>
      </c>
      <c r="F8" s="8" t="s">
        <v>1053</v>
      </c>
      <c r="G8" s="15" t="s">
        <v>1054</v>
      </c>
    </row>
    <row r="9" spans="2:7" x14ac:dyDescent="0.35">
      <c r="B9" s="251">
        <v>3</v>
      </c>
      <c r="C9" s="40" t="s">
        <v>1055</v>
      </c>
      <c r="D9" s="48">
        <f>SUMPRODUCT(ABS(Model!E67:K67-Hist!E12:K12))</f>
        <v>0</v>
      </c>
      <c r="E9" s="170" t="str">
        <f>IF(ISERROR(D9),"ERROR",IF(ABS(D9)&lt;=0.5,"OK","ERROR"))</f>
        <v>OK</v>
      </c>
      <c r="F9" s="8" t="s">
        <v>1050</v>
      </c>
      <c r="G9" s="15" t="s">
        <v>1056</v>
      </c>
    </row>
    <row r="10" spans="2:7" x14ac:dyDescent="0.35">
      <c r="B10" s="251">
        <v>4</v>
      </c>
      <c r="C10" s="40" t="s">
        <v>1057</v>
      </c>
      <c r="D10" s="48">
        <f>SUMPRODUCT(ABS(Model!E91:K91-Hist!E21:K21))</f>
        <v>0</v>
      </c>
      <c r="E10" s="170" t="str">
        <f>IF(ISERROR(D10),"ERROR",IF(ABS(D10)&lt;=0.5,"OK","ERROR"))</f>
        <v>OK</v>
      </c>
      <c r="F10" s="8" t="s">
        <v>1050</v>
      </c>
      <c r="G10" s="15" t="s">
        <v>1058</v>
      </c>
    </row>
    <row r="11" spans="2:7" x14ac:dyDescent="0.35">
      <c r="B11" s="251">
        <v>5</v>
      </c>
      <c r="C11" s="40" t="s">
        <v>1059</v>
      </c>
      <c r="D11" s="48">
        <f>MAX(ABS(MAX(Output!E66:S66)),ABS(MIN(Output!E66:S66)))</f>
        <v>0</v>
      </c>
      <c r="E11" s="170" t="str">
        <f>IF(ISERROR(D11),"ERROR",IF(ABS(D11)&lt;=0.5,"OK","ERROR"))</f>
        <v>OK</v>
      </c>
      <c r="F11" s="8" t="s">
        <v>1050</v>
      </c>
      <c r="G11" s="15" t="s">
        <v>1060</v>
      </c>
    </row>
    <row r="12" spans="2:7" x14ac:dyDescent="0.35">
      <c r="B12" s="251">
        <v>6</v>
      </c>
      <c r="C12" s="40" t="s">
        <v>1061</v>
      </c>
      <c r="D12" s="48">
        <f>MAX(ABS(MAX(Output!F89:S89)),ABS(MIN(Output!F89:S89)))</f>
        <v>0</v>
      </c>
      <c r="E12" s="170" t="str">
        <f>IF(ISERROR(D12),"ERROR",IF(ABS(D12)&lt;=0.5,"OK","ERROR"))</f>
        <v>OK</v>
      </c>
      <c r="F12" s="8" t="s">
        <v>1050</v>
      </c>
      <c r="G12" s="15" t="s">
        <v>1062</v>
      </c>
    </row>
    <row r="13" spans="2:7" x14ac:dyDescent="0.35">
      <c r="B13" s="251">
        <v>7</v>
      </c>
      <c r="C13" s="40" t="s">
        <v>1063</v>
      </c>
      <c r="D13" s="43">
        <f>SUMPRODUCT(--ISERROR(Hist!E7:K180))+SUMPRODUCT(--ISERROR(Drivers!E7:V120))+SUMPRODUCT(--ISERROR(Model!E7:T250))+SUMPRODUCT(--ISERROR(Output!E7:T160))+SUMPRODUCT(--ISERROR(Analysis!E7:T160))+SUMPRODUCT(--ISERROR(DCF!E7:T160))+SUMPRODUCT(--ISERROR(WACC!C4:M30))+SUMPRODUCT(--ISERROR(Comps!C6:S40))+SUMPRODUCT(--ISERROR(Sensitivity!C12:AE90))+SUMPRODUCT(--ISERROR(Football!C5:F17))+SUMPRODUCT(--ISERROR(Reverse_DCF!C5:K135))+SUMPRODUCT(--ISERROR(Consensus!C5:K50))+SUMPRODUCT(--ISERROR(Thesis!C5:K40))</f>
        <v>0</v>
      </c>
      <c r="E13" s="170" t="str">
        <f>IF(ISERROR(D13),"ERROR",IF(D13=0,"OK","ERROR"))</f>
        <v>OK</v>
      </c>
      <c r="F13" s="8" t="s">
        <v>1050</v>
      </c>
      <c r="G13" s="15" t="s">
        <v>1064</v>
      </c>
    </row>
    <row r="14" spans="2:7" x14ac:dyDescent="0.35">
      <c r="B14" s="251">
        <v>8</v>
      </c>
      <c r="C14" s="40" t="s">
        <v>1065</v>
      </c>
      <c r="D14" s="205">
        <f>DCF!$E$98</f>
        <v>6.9875829156050187E-2</v>
      </c>
      <c r="E14" s="170" t="str">
        <f>IF(ISERROR(D14),"ERROR",IF(D14&gt;0,"OK","ERROR"))</f>
        <v>OK</v>
      </c>
      <c r="F14" s="8" t="s">
        <v>1050</v>
      </c>
      <c r="G14" s="15" t="s">
        <v>1066</v>
      </c>
    </row>
    <row r="15" spans="2:7" x14ac:dyDescent="0.35">
      <c r="B15" s="251">
        <v>9</v>
      </c>
      <c r="C15" s="40" t="s">
        <v>1067</v>
      </c>
      <c r="D15" s="205">
        <f>DCF!$E$52</f>
        <v>0.02</v>
      </c>
      <c r="E15" s="170" t="str">
        <f>IF(ISERROR(D15),"ERROR",IF(D15&lt;=0.03,"OK","WARNING"))</f>
        <v>OK</v>
      </c>
      <c r="F15" s="8" t="s">
        <v>1053</v>
      </c>
      <c r="G15" s="15" t="s">
        <v>1068</v>
      </c>
    </row>
    <row r="16" spans="2:7" x14ac:dyDescent="0.35">
      <c r="B16" s="251">
        <v>10</v>
      </c>
      <c r="C16" s="40" t="s">
        <v>1069</v>
      </c>
      <c r="D16" s="78">
        <f>DCF!$E$74</f>
        <v>0.64013486372258221</v>
      </c>
      <c r="E16" s="170" t="str">
        <f>IF(ISERROR(D16),"ERROR",IF(D16&lt;=0.8,"OK","WARNING"))</f>
        <v>OK</v>
      </c>
      <c r="F16" s="8" t="s">
        <v>1053</v>
      </c>
      <c r="G16" s="15" t="s">
        <v>1070</v>
      </c>
    </row>
    <row r="17" spans="2:7" x14ac:dyDescent="0.35">
      <c r="B17" s="251">
        <v>11</v>
      </c>
      <c r="C17" s="40" t="s">
        <v>1071</v>
      </c>
      <c r="D17" s="205">
        <f>DCF!$E$97</f>
        <v>3.0124170843949805E-2</v>
      </c>
      <c r="E17" s="170" t="str">
        <f>IF(ISERROR(D17),"ERROR",IF(D17&gt;=0,"OK","WARNING"))</f>
        <v>OK</v>
      </c>
      <c r="F17" s="8" t="s">
        <v>1053</v>
      </c>
      <c r="G17" s="15" t="s">
        <v>1072</v>
      </c>
    </row>
    <row r="18" spans="2:7" x14ac:dyDescent="0.35">
      <c r="B18" s="251">
        <v>12</v>
      </c>
      <c r="C18" s="40" t="s">
        <v>1073</v>
      </c>
      <c r="D18" s="78">
        <f>Inputs!$C$23</f>
        <v>0.29041095890410956</v>
      </c>
      <c r="E18" s="170" t="str">
        <f>IF(ISERROR(D18),"ERROR",IF(AND(D18&gt;=0,D18&lt;=1),"OK","ERROR"))</f>
        <v>OK</v>
      </c>
      <c r="F18" s="8" t="s">
        <v>1050</v>
      </c>
      <c r="G18" s="15" t="s">
        <v>1074</v>
      </c>
    </row>
    <row r="19" spans="2:7" x14ac:dyDescent="0.35">
      <c r="B19" s="251">
        <v>13</v>
      </c>
      <c r="C19" s="40" t="s">
        <v>1075</v>
      </c>
      <c r="D19" s="45">
        <f>MIN(Inputs!$C$56,Inputs!$C$59,1-Inputs!$C$56,1-Inputs!$C$59)</f>
        <v>0</v>
      </c>
      <c r="E19" s="170" t="str">
        <f>IF(ISERROR(D19),"ERROR",IF(D19&gt;=0,"OK","ERROR"))</f>
        <v>OK</v>
      </c>
      <c r="F19" s="8" t="s">
        <v>1050</v>
      </c>
      <c r="G19" s="15" t="s">
        <v>1076</v>
      </c>
    </row>
    <row r="20" spans="2:7" x14ac:dyDescent="0.35">
      <c r="B20" s="251">
        <v>14</v>
      </c>
      <c r="C20" s="40" t="s">
        <v>1077</v>
      </c>
      <c r="D20" s="74">
        <f>ABS(Sensitivity!$G$15-DCF!$E$83)</f>
        <v>0</v>
      </c>
      <c r="E20" s="170" t="str">
        <f>IF(ISERROR(D20),"ERROR",IF(D20&lt;0.01,"OK","ERROR"))</f>
        <v>OK</v>
      </c>
      <c r="F20" s="8" t="s">
        <v>1050</v>
      </c>
      <c r="G20" s="15" t="s">
        <v>1078</v>
      </c>
    </row>
    <row r="21" spans="2:7" x14ac:dyDescent="0.35">
      <c r="B21" s="251">
        <v>15</v>
      </c>
      <c r="C21" s="40" t="s">
        <v>1079</v>
      </c>
      <c r="D21" s="43">
        <f>COUNT(Sensitivity!$D$4:$D$6)</f>
        <v>0</v>
      </c>
      <c r="E21" s="170" t="str">
        <f>IF(ISERROR(D21),"ERROR",IF(D21=0,"OK","ERROR"))</f>
        <v>OK</v>
      </c>
      <c r="F21" s="8" t="s">
        <v>1050</v>
      </c>
      <c r="G21" s="15" t="s">
        <v>1080</v>
      </c>
    </row>
    <row r="22" spans="2:7" x14ac:dyDescent="0.35">
      <c r="B22" s="251">
        <v>16</v>
      </c>
      <c r="C22" s="40" t="s">
        <v>1081</v>
      </c>
      <c r="D22" s="78">
        <f>Drivers!$H$53</f>
        <v>1</v>
      </c>
      <c r="E22" s="170" t="str">
        <f>IF(ISERROR(D22),"ERROR",IF(ABS(D22-1)&lt;0.0001,"OK","ERROR"))</f>
        <v>OK</v>
      </c>
      <c r="F22" s="8" t="s">
        <v>1050</v>
      </c>
      <c r="G22" s="15" t="s">
        <v>1082</v>
      </c>
    </row>
    <row r="23" spans="2:7" x14ac:dyDescent="0.35">
      <c r="B23" s="251">
        <v>17</v>
      </c>
      <c r="C23" s="40" t="s">
        <v>1083</v>
      </c>
      <c r="D23" s="49">
        <f>MIN(Model!L117:S117)</f>
        <v>1658.4586877548893</v>
      </c>
      <c r="E23" s="170" t="str">
        <f>IF(ISERROR(D23),"ERROR",IF(D23&gt;0,"OK","ERROR"))</f>
        <v>OK</v>
      </c>
      <c r="F23" s="8" t="s">
        <v>1050</v>
      </c>
      <c r="G23" s="15" t="s">
        <v>1084</v>
      </c>
    </row>
    <row r="24" spans="2:7" x14ac:dyDescent="0.35">
      <c r="B24" s="251">
        <v>18</v>
      </c>
      <c r="C24" s="40" t="s">
        <v>1085</v>
      </c>
      <c r="D24" s="74">
        <f>MIN(Inputs!$C$27,Inputs!$C$29)</f>
        <v>85</v>
      </c>
      <c r="E24" s="170" t="str">
        <f>IF(ISERROR(D24),"ERROR",IF(D24&gt;0,"OK","ERROR"))</f>
        <v>OK</v>
      </c>
      <c r="F24" s="8" t="s">
        <v>1050</v>
      </c>
      <c r="G24" s="15" t="s">
        <v>1086</v>
      </c>
    </row>
    <row r="25" spans="2:7" x14ac:dyDescent="0.35">
      <c r="B25" s="251">
        <v>19</v>
      </c>
      <c r="C25" s="40" t="s">
        <v>1087</v>
      </c>
      <c r="D25" s="82">
        <f>DCF!$E$91</f>
        <v>7.7086737862893573</v>
      </c>
      <c r="E25" s="170" t="str">
        <f>IF(ISERROR(D25),"ERROR",IF(AND(D25&gt;=Comps!$J$20*0.8,D25&lt;=Comps!$J$19*1.2),"OK","WARNING"))</f>
        <v>OK</v>
      </c>
      <c r="F25" s="8" t="s">
        <v>1053</v>
      </c>
      <c r="G25" s="15" t="s">
        <v>1088</v>
      </c>
    </row>
    <row r="26" spans="2:7" x14ac:dyDescent="0.35">
      <c r="B26" s="251">
        <v>20</v>
      </c>
      <c r="C26" s="40" t="s">
        <v>1089</v>
      </c>
      <c r="D26" s="45">
        <f>DCF!$E$102/Comps!$H$33-1</f>
        <v>2.3635133868401104E-2</v>
      </c>
      <c r="E26" s="170" t="str">
        <f>IF(ISERROR(D26),"ERROR",IF(ABS(D26)&lt;=0.3,"OK","WARNING"))</f>
        <v>OK</v>
      </c>
      <c r="F26" s="8" t="s">
        <v>1053</v>
      </c>
      <c r="G26" s="15" t="s">
        <v>1090</v>
      </c>
    </row>
    <row r="27" spans="2:7" x14ac:dyDescent="0.35">
      <c r="B27" s="251">
        <v>21</v>
      </c>
      <c r="C27" s="40" t="s">
        <v>1091</v>
      </c>
      <c r="D27" s="82">
        <f>DCF!$E$96</f>
        <v>2.2266828779026455</v>
      </c>
      <c r="E27" s="170" t="str">
        <f>IF(ISERROR(D27),"ERROR",IF(D27&lt;=Inputs!$C$65,"OK","WARNING"))</f>
        <v>OK</v>
      </c>
      <c r="F27" s="8" t="s">
        <v>1053</v>
      </c>
      <c r="G27" s="15" t="s">
        <v>1092</v>
      </c>
    </row>
    <row r="28" spans="2:7" x14ac:dyDescent="0.35">
      <c r="B28" s="251">
        <v>22</v>
      </c>
      <c r="C28" s="40" t="s">
        <v>1093</v>
      </c>
      <c r="D28" s="43">
        <f>SUMPRODUCT((Model!L59:S59&gt;0)*(Model!L123:S123&lt;0))</f>
        <v>0</v>
      </c>
      <c r="E28" s="170" t="str">
        <f>IF(ISERROR(D28),"ERROR",IF(D28=0,"OK","WARNING"))</f>
        <v>OK</v>
      </c>
      <c r="F28" s="8" t="s">
        <v>1053</v>
      </c>
      <c r="G28" s="15" t="s">
        <v>1094</v>
      </c>
    </row>
    <row r="29" spans="2:7" x14ac:dyDescent="0.35">
      <c r="B29" s="251">
        <v>23</v>
      </c>
      <c r="C29" s="40" t="s">
        <v>1095</v>
      </c>
      <c r="D29" s="45">
        <f>ABS(WACC!$C$29-WACC!$C$28)</f>
        <v>3.8065976575876737E-3</v>
      </c>
      <c r="E29" s="170" t="str">
        <f>IF(ISERROR(D29),"ERROR",IF(D29&lt;=0.1,"OK","WARNING"))</f>
        <v>OK</v>
      </c>
      <c r="F29" s="8" t="s">
        <v>1053</v>
      </c>
      <c r="G29" s="15" t="s">
        <v>1096</v>
      </c>
    </row>
    <row r="30" spans="2:7" x14ac:dyDescent="0.35">
      <c r="B30" s="251">
        <v>24</v>
      </c>
      <c r="C30" s="40" t="s">
        <v>1097</v>
      </c>
      <c r="D30" s="49">
        <f>MIN(Model!L52:S52)</f>
        <v>224</v>
      </c>
      <c r="E30" s="170" t="str">
        <f>IF(ISERROR(D30),"ERROR",IF(D30&gt;0,"OK","ERROR"))</f>
        <v>OK</v>
      </c>
      <c r="F30" s="8" t="s">
        <v>1050</v>
      </c>
      <c r="G30" s="15" t="s">
        <v>1098</v>
      </c>
    </row>
    <row r="31" spans="2:7" x14ac:dyDescent="0.35">
      <c r="B31" s="251">
        <v>25</v>
      </c>
      <c r="C31" s="40" t="s">
        <v>1099</v>
      </c>
      <c r="D31" s="43">
        <f>IF(AND(Drivers!$H$110&gt;=0,Drivers!$H$110&lt;=Drivers!$H$111,Drivers!$H$111&lt;=Drivers!$H$112,Drivers!$H$112&lt;=1),1,0)</f>
        <v>1</v>
      </c>
      <c r="E31" s="170" t="str">
        <f>IF(ISERROR(D31),"ERROR",IF(D31=1,"OK","ERROR"))</f>
        <v>OK</v>
      </c>
      <c r="F31" s="8" t="s">
        <v>1050</v>
      </c>
      <c r="G31" s="15" t="s">
        <v>1100</v>
      </c>
    </row>
    <row r="32" spans="2:7" x14ac:dyDescent="0.35">
      <c r="B32" s="251">
        <v>26</v>
      </c>
      <c r="C32" s="40" t="s">
        <v>1101</v>
      </c>
      <c r="D32" s="45">
        <f>IF(Inputs!$C$72=2,MAX(MAX(Model!L14:S14)/MAX(Model!E14:K14),MAX(Model!L28:S28)/MAX(Model!E28:K28),MAX(Model!L42:S42)/MAX(Model!E42:K42))-1,0)</f>
        <v>5.3176672308210771E-2</v>
      </c>
      <c r="E32" s="170" t="str">
        <f>IF(ISERROR(D32),"ERROR",IF(D32&lt;=Inputs!$C$66,"OK","WARNING"))</f>
        <v>OK</v>
      </c>
      <c r="F32" s="8" t="s">
        <v>1053</v>
      </c>
      <c r="G32" s="15" t="s">
        <v>1102</v>
      </c>
    </row>
    <row r="33" spans="2:7" x14ac:dyDescent="0.35">
      <c r="B33" s="251">
        <v>27</v>
      </c>
      <c r="C33" s="40" t="s">
        <v>1103</v>
      </c>
      <c r="D33" s="43">
        <f>6-COUNT(Reverse_DCF!$C$6:$C$11)</f>
        <v>0</v>
      </c>
      <c r="E33" s="170" t="str">
        <f>IF(ISERROR(D33),"ERROR",IF(D33=0,"OK","WARNING"))</f>
        <v>OK</v>
      </c>
      <c r="F33" s="8" t="s">
        <v>1053</v>
      </c>
      <c r="G33" s="15" t="s">
        <v>1104</v>
      </c>
    </row>
    <row r="34" spans="2:7" x14ac:dyDescent="0.35">
      <c r="B34" s="251">
        <v>28</v>
      </c>
      <c r="C34" s="40" t="s">
        <v>1105</v>
      </c>
      <c r="D34" s="77">
        <f>Thesis!$C$30</f>
        <v>0</v>
      </c>
      <c r="E34" s="170" t="str">
        <f>IF(ISERROR(D34),"ERROR",IF(D34=0,"OK","WARNING"))</f>
        <v>OK</v>
      </c>
      <c r="F34" s="8" t="s">
        <v>1053</v>
      </c>
      <c r="G34" s="15" t="s">
        <v>1106</v>
      </c>
    </row>
    <row r="35" spans="2:7" x14ac:dyDescent="0.35">
      <c r="B35" s="251">
        <v>29</v>
      </c>
      <c r="C35" s="40" t="s">
        <v>1107</v>
      </c>
      <c r="D35" s="77">
        <f>Thesis!$C$32</f>
        <v>0</v>
      </c>
      <c r="E35" s="170" t="str">
        <f>IF(ISERROR(D35),"ERROR",IF(D35=0,"OK","WARNING"))</f>
        <v>OK</v>
      </c>
      <c r="F35" s="8" t="s">
        <v>1053</v>
      </c>
      <c r="G35" s="15" t="s">
        <v>1108</v>
      </c>
    </row>
    <row r="36" spans="2:7" x14ac:dyDescent="0.35">
      <c r="B36" s="251">
        <v>30</v>
      </c>
      <c r="C36" s="40" t="s">
        <v>1109</v>
      </c>
      <c r="D36" s="21" t="str">
        <f>Inputs!$C$53</f>
        <v>Base</v>
      </c>
      <c r="E36" s="170" t="str">
        <f>IF(ISERROR(D36),"ERROR",IF(D36="Base","OK","INFO"))</f>
        <v>OK</v>
      </c>
      <c r="F36" s="8" t="s">
        <v>1110</v>
      </c>
      <c r="G36" s="15" t="s">
        <v>1111</v>
      </c>
    </row>
  </sheetData>
  <conditionalFormatting sqref="D3">
    <cfRule type="expression" dxfId="5" priority="5">
      <formula>ISNUMBER(SEARCH("ERROR",$D$3))</formula>
    </cfRule>
    <cfRule type="expression" dxfId="4" priority="6">
      <formula>NOT(ISNUMBER(SEARCH("ERROR",$D$3)))</formula>
    </cfRule>
  </conditionalFormatting>
  <conditionalFormatting sqref="E7:E36">
    <cfRule type="cellIs" dxfId="3" priority="1" operator="equal">
      <formula>"OK"</formula>
    </cfRule>
    <cfRule type="cellIs" dxfId="2" priority="2" operator="equal">
      <formula>"ERROR"</formula>
    </cfRule>
    <cfRule type="cellIs" dxfId="1" priority="3" operator="equal">
      <formula>"WARNING"</formula>
    </cfRule>
    <cfRule type="cellIs" dxfId="0" priority="4" operator="equal">
      <formula>"INFO"</formula>
    </cfRule>
  </conditionalFormatting>
  <printOptions horizontalCentered="1"/>
  <pageMargins left="0.4" right="0.4"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Cover</vt:lpstr>
      <vt:lpstr>Guide</vt:lpstr>
      <vt:lpstr>Inputs &gt;&gt;&gt;</vt:lpstr>
      <vt:lpstr>Inputs</vt:lpstr>
      <vt:lpstr>Hist</vt:lpstr>
      <vt:lpstr>Drivers</vt:lpstr>
      <vt:lpstr>Calculations &gt;&gt;&gt;</vt:lpstr>
      <vt:lpstr>Model</vt:lpstr>
      <vt:lpstr>Output &gt;&gt;&gt;</vt:lpstr>
      <vt:lpstr>Output</vt:lpstr>
      <vt:lpstr>Analysis</vt:lpstr>
      <vt:lpstr>Valuation &gt;&gt;&gt;</vt:lpstr>
      <vt:lpstr>WACC</vt:lpstr>
      <vt:lpstr>DCF</vt:lpstr>
      <vt:lpstr>Sensitivity</vt:lpstr>
      <vt:lpstr>Comps</vt:lpstr>
      <vt:lpstr>Football</vt:lpstr>
      <vt:lpstr>Market view &gt;&gt;&gt;</vt:lpstr>
      <vt:lpstr>Reverse_DCF</vt:lpstr>
      <vt:lpstr>Consensus</vt:lpstr>
      <vt:lpstr>Thesis</vt:lpstr>
      <vt:lpstr>Summary &gt;&gt;&gt;</vt:lpstr>
      <vt:lpstr>Dashboard</vt:lpstr>
      <vt:lpstr>Deck_Feed</vt:lpstr>
      <vt:lpstr>Checks</vt:lpstr>
      <vt:lpstr>CostOfEquity</vt:lpstr>
      <vt:lpstr>DCF_ValuePerShare</vt:lpstr>
      <vt:lpstr>EV_DCF</vt:lpstr>
      <vt:lpstr>ImpliedMargin</vt:lpstr>
      <vt:lpstr>ModelStatus</vt:lpstr>
      <vt:lpstr>PeerValuePerShare</vt:lpstr>
      <vt:lpstr>Recommendation</vt:lpstr>
      <vt:lpstr>RevenueMode</vt:lpstr>
      <vt:lpstr>Scenario</vt:lpstr>
      <vt:lpstr>SharePrice</vt:lpstr>
      <vt:lpstr>TargetPrice</vt:lpstr>
      <vt:lpstr>TerminalGrowth</vt:lpstr>
      <vt:lpstr>WACC_used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Schjelderup</cp:lastModifiedBy>
  <dcterms:created xsi:type="dcterms:W3CDTF">2026-10-01T14:54:04Z</dcterms:created>
  <dcterms:modified xsi:type="dcterms:W3CDTF">2026-10-01T14:54:18Z</dcterms:modified>
</cp:coreProperties>
</file>